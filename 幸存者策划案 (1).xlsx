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activeTab="8"/>
  </bookViews>
  <sheets>
    <sheet name="游戏内玩法" sheetId="2" r:id="rId1"/>
    <sheet name="开发日志" sheetId="3" r:id="rId2"/>
    <sheet name="存档装备系统" sheetId="4" r:id="rId3"/>
    <sheet name="奇遇事件" sheetId="5" r:id="rId4"/>
    <sheet name="角色属性   " sheetId="6" r:id="rId5"/>
    <sheet name="难度说明" sheetId="7" r:id="rId6"/>
    <sheet name="通关装备" sheetId="8" r:id="rId7"/>
    <sheet name="成就装备" sheetId="9" r:id="rId8"/>
    <sheet name="好感度装备" sheetId="10" r:id="rId9"/>
    <sheet name="抽卡装备" sheetId="11" r:id="rId10"/>
    <sheet name="门挑战" sheetId="12" r:id="rId11"/>
    <sheet name="BOSS设计" sheetId="13" r:id="rId12"/>
    <sheet name="营地设计" sheetId="14" r:id="rId13"/>
    <sheet name="可操纵角色" sheetId="1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FA5D168F5F7D47D1AE2667EE4B7BF4B4" descr="core_image_url__exec_download_2635445959"/>
        <xdr:cNvPicPr/>
      </xdr:nvPicPr>
      <xdr:blipFill>
        <a:blip r:embed="rId1"/>
        <a:stretch>
          <a:fillRect/>
        </a:stretch>
      </xdr:blipFill>
      <xdr:spPr>
        <a:xfrm>
          <a:off x="0" y="0"/>
          <a:ext cx="8353425" cy="4657725"/>
        </a:xfrm>
        <a:prstGeom prst="rect">
          <a:avLst/>
        </a:prstGeom>
      </xdr:spPr>
    </xdr:pic>
  </etc:cellImage>
  <etc:cellImage>
    <xdr:pic>
      <xdr:nvPicPr>
        <xdr:cNvPr id="3" name="ID_C72A97EABF704EC0B58DD91D8E4A3245" descr="core_image_url__exec_download_3538132385"/>
        <xdr:cNvPicPr/>
      </xdr:nvPicPr>
      <xdr:blipFill>
        <a:blip r:embed="rId2"/>
        <a:stretch>
          <a:fillRect/>
        </a:stretch>
      </xdr:blipFill>
      <xdr:spPr>
        <a:xfrm>
          <a:off x="0" y="0"/>
          <a:ext cx="2457450" cy="1771650"/>
        </a:xfrm>
        <a:prstGeom prst="rect">
          <a:avLst/>
        </a:prstGeom>
      </xdr:spPr>
    </xdr:pic>
  </etc:cellImage>
  <etc:cellImage>
    <xdr:pic>
      <xdr:nvPicPr>
        <xdr:cNvPr id="4" name="ID_5A158090866F40B588767AA03A64FE79" descr="core_image_url__exec_download_2701038039"/>
        <xdr:cNvPicPr/>
      </xdr:nvPicPr>
      <xdr:blipFill>
        <a:blip r:embed="rId3"/>
        <a:stretch>
          <a:fillRect/>
        </a:stretch>
      </xdr:blipFill>
      <xdr:spPr>
        <a:xfrm>
          <a:off x="0" y="0"/>
          <a:ext cx="10058400" cy="5291455"/>
        </a:xfrm>
        <a:prstGeom prst="rect">
          <a:avLst/>
        </a:prstGeom>
      </xdr:spPr>
    </xdr:pic>
  </etc:cellImage>
  <etc:cellImage>
    <xdr:pic>
      <xdr:nvPicPr>
        <xdr:cNvPr id="5" name="ID_0EA69215E68E49B5A224A85F775EC25C" descr="core_image_url__exec_download_4149717664"/>
        <xdr:cNvPicPr/>
      </xdr:nvPicPr>
      <xdr:blipFill>
        <a:blip r:embed="rId4"/>
        <a:stretch>
          <a:fillRect/>
        </a:stretch>
      </xdr:blipFill>
      <xdr:spPr>
        <a:xfrm>
          <a:off x="0" y="0"/>
          <a:ext cx="10058400" cy="5786120"/>
        </a:xfrm>
        <a:prstGeom prst="rect">
          <a:avLst/>
        </a:prstGeom>
      </xdr:spPr>
    </xdr:pic>
  </etc:cellImage>
</etc:cellImages>
</file>

<file path=xl/sharedStrings.xml><?xml version="1.0" encoding="utf-8"?>
<sst xmlns="http://schemas.openxmlformats.org/spreadsheetml/2006/main" count="1095" uniqueCount="827">
  <si>
    <t>游戏内玩法</t>
  </si>
  <si>
    <t>玩家玩法说明</t>
  </si>
  <si>
    <t>一、角色</t>
  </si>
  <si>
    <t>角色属性</t>
  </si>
  <si>
    <t>角色可以通过WASD上下左右在一片空间中移动</t>
  </si>
  <si>
    <t>角色可以拾取怪物死亡后掉落的经验石增加经验，在经验满后提升等级并触发三选一，并提升下次升级所需的经验值</t>
  </si>
  <si>
    <t>三选一升级包括：【学习新技能】【升级技能效果】【提升角色属性】</t>
  </si>
  <si>
    <t>二、技能类型</t>
  </si>
  <si>
    <t>【学习新技能】</t>
  </si>
  <si>
    <t>可学习新技能，将可学习的技能加入卡池，在选择该选项时获得新技能</t>
  </si>
  <si>
    <t>【升级技能效果】</t>
  </si>
  <si>
    <t>提升已有技能的效果，包括子弹数量，技能伤害，或是冷却时间子弹大小等</t>
  </si>
  <si>
    <t>【提升角色属性】</t>
  </si>
  <si>
    <t>提升角色的移速，生命值掉宝率等，初始加入卡池</t>
  </si>
  <si>
    <t>三、升级说明</t>
  </si>
  <si>
    <t>每种技能的升级选项存在升级上限，初始只可选择五次升级，之后便不再出现相关升级选项</t>
  </si>
  <si>
    <t>＊该升级上限可通过存档装备和门挑战提升</t>
  </si>
  <si>
    <t>每种技能可升级的种类并不相同，如火球术不能升级数量，但可以升级冷却以及伤害，具体请见技能表格</t>
  </si>
  <si>
    <t>根据提升后的属性，出现技能进化（例如伤害&gt;20时将可进化选项加入卡池）进化只能选择一项</t>
  </si>
  <si>
    <t>每提升十级，所有技能可选择升级数量上限＋1</t>
  </si>
  <si>
    <t>场景说明</t>
  </si>
  <si>
    <t>一、时间</t>
  </si>
  <si>
    <t>每场游戏存在倒计时，倒计时终止则游戏结束，玩家的目标是在有限的时间中提升自己的实力，挑战地图中的各类事件与BOSS</t>
  </si>
  <si>
    <t>在倒计时结束时，会出现一个限时击杀的BOSS，如若击败则算作【普通通关】，解锁当前难度的通关装备</t>
  </si>
  <si>
    <t>在局内有其他情况会暂停计时/增加时间/提供另外计时任务</t>
  </si>
  <si>
    <t>二、难度</t>
  </si>
  <si>
    <r>
      <rPr>
        <sz val="10"/>
        <color rgb="FF000000"/>
        <rFont val="微软雅黑"/>
        <charset val="134"/>
      </rPr>
      <t>难度分为（N1，N2...）以此类推，随着难度提升，怪物的数值提升，设置难度的目的更主要的是</t>
    </r>
    <r>
      <rPr>
        <b/>
        <sz val="10"/>
        <color rgb="FFFF0000"/>
        <rFont val="微软雅黑"/>
        <charset val="134"/>
      </rPr>
      <t>解锁更多玩法与挑战</t>
    </r>
  </si>
  <si>
    <t>随着难度增加，增加每局的时间限制，让玩家有兴趣去进一步挑战更高难度，探索更多玩法</t>
  </si>
  <si>
    <t>三、刷怪</t>
  </si>
  <si>
    <r>
      <rPr>
        <sz val="10"/>
        <color rgb="FF000000"/>
        <rFont val="微软雅黑"/>
        <charset val="134"/>
      </rPr>
      <t>在地图中有</t>
    </r>
    <r>
      <rPr>
        <sz val="10"/>
        <color rgb="FFFF0000"/>
        <rFont val="微软雅黑"/>
        <charset val="134"/>
      </rPr>
      <t>自然刷怪点</t>
    </r>
    <r>
      <rPr>
        <sz val="10"/>
        <color rgb="FF000000"/>
        <rFont val="微软雅黑"/>
        <charset val="134"/>
      </rPr>
      <t>，自然刷怪逻辑为没到最大可同时在场数量时就刷怪</t>
    </r>
  </si>
  <si>
    <t>该上限可通过存档装备提升</t>
  </si>
  <si>
    <t>地图中有野外BOSS，野外BOSS拥有攻击范围圈提示，走进攻击范围则进入战斗状态</t>
  </si>
  <si>
    <t>地图中存在特殊的野外小怪营地，清理营地可以占领营地并持续获得【源木】</t>
  </si>
  <si>
    <t>四、源木</t>
  </si>
  <si>
    <t>奇遇</t>
  </si>
  <si>
    <t>源木是一种货币，在占领营地后可持续获取，在击败野外BOSS以及试炼怪时一次性获得大量源木</t>
  </si>
  <si>
    <t>每拥有两百源木可点击UI按钮购买随机奇遇</t>
  </si>
  <si>
    <t>每拥有九个奇遇可解锁【真实】事件</t>
  </si>
  <si>
    <t>五、门挑战</t>
  </si>
  <si>
    <t>门挑战</t>
  </si>
  <si>
    <t>在获得一次奇遇后自动解锁，可通过UI开启挑战</t>
  </si>
  <si>
    <t>挑战类型类似于爬塔，第一层挑战成功后可开启下一层，每层会在玩家附近生成怪物，全部击败可获得技能升级选择数量的奖励，实则dps检测器</t>
  </si>
  <si>
    <t>挑战怪为白色人造体，每层的数量与个体强度固定</t>
  </si>
  <si>
    <t>六、BOSS</t>
  </si>
  <si>
    <t>BOSS设计</t>
  </si>
  <si>
    <t>每个难度区间会有不同的关底boss，比如N1是蘑菇人boss</t>
  </si>
  <si>
    <t>在关底boss退场时（难度增加时有新的关底boss时）关底boss会作为世界boss出现在地图上</t>
  </si>
  <si>
    <t>世界boss是被世界意识藏起来的已被废弃之物，位置固定但很隐蔽，每个世界boss的功能和特性都不固定</t>
  </si>
  <si>
    <t>世界boss存在好感度设计，在击败世界boss后可使其挣脱世界意识的束缚，会增加好感度，在好感度达到一定程度会解锁好感度装备</t>
  </si>
  <si>
    <t>七、通关要求</t>
  </si>
  <si>
    <t>难度说明</t>
  </si>
  <si>
    <t>低难度中，通关要求为角色存活至指定时间且击败关底boss</t>
  </si>
  <si>
    <t>中难度中，通关要求为保护指定角色且击败关底boss，玩家拥有复活次数</t>
  </si>
  <si>
    <t>高难度中，玩家死亡并不会立刻结束游戏，而是在几秒后无限复活，通关条件为击败关底boss</t>
  </si>
  <si>
    <t>开发日志</t>
  </si>
  <si>
    <t>2026.3.14</t>
  </si>
  <si>
    <t>开发内容：</t>
  </si>
  <si>
    <t>根据demo完成游戏基本demo，制作存档装备系统，添加界面以及五种装备的切换按钮，还有装备的信息显示UI，以及清空存档按钮</t>
  </si>
  <si>
    <t>优化内容：</t>
  </si>
  <si>
    <t>修改了装备保存记录的问题</t>
  </si>
  <si>
    <t>2026.3.15</t>
  </si>
  <si>
    <t>重写了升级逻辑，加入了技能升级的可选取上限，同时在三选一按钮中加入刷新按钮和放弃按钮</t>
  </si>
  <si>
    <t>子弹穿透不正常触发，开局游戏场景不正常进入的问题</t>
  </si>
  <si>
    <t>2026.3.16</t>
  </si>
  <si>
    <t>开发了局内营地玩法，包括营地实例，营地血条清空后占为己有，每秒增加源木等</t>
  </si>
  <si>
    <t>优化了enemylayer</t>
  </si>
  <si>
    <t>2026.3.17</t>
  </si>
  <si>
    <t>制作奇遇基类以及UI，编写奇遇相关的策划文档</t>
  </si>
  <si>
    <t>优化奇遇的触发逻辑，改为手动点击按钮触发，优化闪避逻辑</t>
  </si>
  <si>
    <t>2026.3.18</t>
  </si>
  <si>
    <t>新增风箭技能，可升级同时攻击人数与攻击范围，制作了风箭的攻击范围显示UI</t>
  </si>
  <si>
    <t>优化了减少冷却时间升级不生效的问题，制作存档装备功能落地</t>
  </si>
  <si>
    <t>2026.3.19</t>
  </si>
  <si>
    <t>实例化难度选择界面与功能，实现了难度调整游戏时间和怪物血量等</t>
  </si>
  <si>
    <t>优化了主页面小蘑菇因为时间停止而不播放动画的问题</t>
  </si>
  <si>
    <t>2026.3.20</t>
  </si>
  <si>
    <t>制作了关底蘑菇人boss，实例化N1的三个通关装备，新增2倍速功能</t>
  </si>
  <si>
    <t>优化闪避的显示文本，使其可见，优化了女娲补天事件中创建的刷怪点位置在地图外的问题，删除了升级回满生命值的机制，同时优化了选择生命值加成时加上对应生命值的机制</t>
  </si>
  <si>
    <t>2026.3.21</t>
  </si>
  <si>
    <t>完善通关脚本逻辑与通关次数记录器，增加装备解锁功能以及通关装备积分兑换功能，完善功能随难度开放的设计</t>
  </si>
  <si>
    <t>优化难度说明的游戏策划案，优化了难度选择的递进式，而不是全开放，修复了存档装备读取失败的问题，修复了蘑菇人boss无重力的问题，以及风箭不跨y轴追踪的问题</t>
  </si>
  <si>
    <t>2026.3.22</t>
  </si>
  <si>
    <t>实现显示控制台提示功能，以及消息弹出功能，现在可随时显示一些提示</t>
  </si>
  <si>
    <t>完善N1N2部分功能不解锁的设计，修复了删除存档按钮不生效的bug</t>
  </si>
  <si>
    <t>2026.3.23</t>
  </si>
  <si>
    <t>制作存档装备0-11，完善功能以及解锁相关</t>
  </si>
  <si>
    <t>无</t>
  </si>
  <si>
    <t>2026.3.24</t>
  </si>
  <si>
    <t>制作蝙蝠敌人的状态机以及实例，蝙蝠敌人会在N4以上难度自动生成。编写游戏策划案</t>
  </si>
  <si>
    <t>2026.3.25</t>
  </si>
  <si>
    <t>选择难度的时候显示该难度解锁的新功能，制作门挑战相关，制作前13层的挑战，完善相关UI</t>
  </si>
  <si>
    <t>增加门挑战按钮颜色变化以及取消挑战功能，优化了风箭有的时候会攻击已经播放死亡动画的小怪的bug</t>
  </si>
  <si>
    <t>2026.3.26</t>
  </si>
  <si>
    <t>门挑战奖励改为每个技能的可获取升级数量＋1，制作蘑菇滑板装备</t>
  </si>
  <si>
    <t>优化了门挑战在N5之后开放，编写策划文案，玩洛克王国世界...</t>
  </si>
  <si>
    <t>2026.3.27</t>
  </si>
  <si>
    <t>制作了蝙蝠社群BOSS作为N7-N13的关底boss，爽</t>
  </si>
  <si>
    <t>2026.3.28</t>
  </si>
  <si>
    <t>实例化难度N6-N8，包括双BOSS设计，优化难度选择时显示该难度解锁功能的功能，新增角色自然回血词条</t>
  </si>
  <si>
    <t>2026.3.29</t>
  </si>
  <si>
    <t>新增好感度功能，完善蘑菇社群的功能，制作世界BOSS功能</t>
  </si>
  <si>
    <t>今天新功能做的好多！！！</t>
  </si>
  <si>
    <t>2026.3.30</t>
  </si>
  <si>
    <t>制作新技能：孢子领域相关的一切，实现蘑菇社群的好感度奖励</t>
  </si>
  <si>
    <t>修复蘑菇滑板的部分bug，优化了世界boss的激活逻辑，生命值减少也会激活</t>
  </si>
  <si>
    <t>2026.3.31</t>
  </si>
  <si>
    <t>制作成就装备3,4号</t>
  </si>
  <si>
    <t>优化了在游戏中ESC自动开关菜单，修复了孢子领域无图标的问题</t>
  </si>
  <si>
    <t>2026.4.1</t>
  </si>
  <si>
    <t>制作抽奖系统！！！！！好难搞！！！！内容好多！！！！！</t>
  </si>
  <si>
    <t>优化了世界boss的死亡演出，不再突兀死去，优化奖池显示，优化抽卡动画，优化一堆他妈的玩意啊啊啊啊啊啊啊</t>
  </si>
  <si>
    <t>2026.4.2</t>
  </si>
  <si>
    <t>继续完善抽奖系统与存档装备的同步功能</t>
  </si>
  <si>
    <t>增加抽卡奖励根据稀有度更改颜色的边框</t>
  </si>
  <si>
    <t>2026.4.3</t>
  </si>
  <si>
    <t>继续添加可抽取的SR装备实例化</t>
  </si>
  <si>
    <t>修复了存档装备处解锁后不显示装备信息的bug</t>
  </si>
  <si>
    <t>2026.4.6</t>
  </si>
  <si>
    <t>右键退出当前界面功能，继续制作抽卡装备SR0-5，奇遇0-6</t>
  </si>
  <si>
    <t>清明节给过去软弱的自己扫墓，休息两天</t>
  </si>
  <si>
    <t>2026.4.7</t>
  </si>
  <si>
    <t>优化了奇遇的各种表现，经验石双倍触发现在会体现在经验条上</t>
  </si>
  <si>
    <t>2026.4.8</t>
  </si>
  <si>
    <t>测试，平衡性调整，调整了源木投掷者事件的倍率，角色属性升级增加上限，V0.1版本，打包！</t>
  </si>
  <si>
    <t>2026.4.9</t>
  </si>
  <si>
    <t>V0.12版本修复打包后抽卡动画空白的问题，优化了撤销源木事件无效的问题</t>
  </si>
  <si>
    <t>2026.4.10</t>
  </si>
  <si>
    <t>V0.13版本，首次升级必定刷新技能，解决了火球术无法对蝙蝠敌人生效的bug，以及打包后门挑战无法点击的bug</t>
  </si>
  <si>
    <t>2026.4.11</t>
  </si>
  <si>
    <t>V0.14版本，修改了门挑战的奖励错误的bug，现在挑战后会在当局内增加升级上限</t>
  </si>
  <si>
    <t>2026.4.12</t>
  </si>
  <si>
    <t>V0.15版本，修改分裂奇遇分身死亡游戏结束的bug</t>
  </si>
  <si>
    <t>2026.4.13</t>
  </si>
  <si>
    <t>V0.16修改通关装备的部分效果，增加N7N8的通关装备效果，实例化N6N7装备</t>
  </si>
  <si>
    <t>2026.4.14</t>
  </si>
  <si>
    <t>V0.18制作蘑菇宠物，调整源木投掷者的效果描述</t>
  </si>
  <si>
    <t>2026.4.15</t>
  </si>
  <si>
    <t>V0.19添加1个R装备，添加4个SSR装备，蘑菇社群的所有好感度装备，修复卡池逻辑bug</t>
  </si>
  <si>
    <t>优化了初始化问题，进入游戏的时候保证显示主菜单</t>
  </si>
  <si>
    <t>2026.4.16</t>
  </si>
  <si>
    <t>V0.20新UR技能：风箭技能进化—风之形</t>
  </si>
  <si>
    <t>优化技能触发机制</t>
  </si>
  <si>
    <t>2026.4.17</t>
  </si>
  <si>
    <t>V0.21新UR技能：火球术进化-地狱火</t>
  </si>
  <si>
    <t>优化暴击时数字的演出模式</t>
  </si>
  <si>
    <t>2026.4.18</t>
  </si>
  <si>
    <t>制作SSR装备4-7</t>
  </si>
  <si>
    <t>2026.4.28</t>
  </si>
  <si>
    <t>制作血族社群相关内容，以及新技能</t>
  </si>
  <si>
    <t>优化了蘑菇宝宝的问题</t>
  </si>
  <si>
    <t>2026.5.25</t>
  </si>
  <si>
    <t>接入了公司的Claude4.7，继续开发</t>
  </si>
  <si>
    <t>优化了绝大部分美术素材，ai生成就是牛逼</t>
  </si>
  <si>
    <t>2026.5.27</t>
  </si>
  <si>
    <t>优化了蝙蝠宝宝的动画，增加暂停游戏时的游戏玩法介绍和设置功能，奇遇图片重绘与挂载，成就装备图片重绘</t>
  </si>
  <si>
    <t>重新架构伤害数值计算公式，制作新的存档装备和奇遇</t>
  </si>
  <si>
    <t>2026.5.28</t>
  </si>
  <si>
    <t>制作两个UR对应的角色行走图，以及角色切换功能，优化一堆功能</t>
  </si>
  <si>
    <t>优化了一大堆功能，这里写不下了不写了，抽奖界面也优化了</t>
  </si>
  <si>
    <t>2026.5.29</t>
  </si>
  <si>
    <t>为UR角色制作专属的技能加成，同时进行平衡性的数值调整与测试</t>
  </si>
  <si>
    <t>2026.6.1-9</t>
  </si>
  <si>
    <t>一、亡者领域系统
新增亡者领域被动技能模块
友军 Boss 复活与控制逻辑
孢子领域随抽卡里程碑成长
无罪皮肤每分钟扩大半径
友军继承玩家攻击力 10%
修复亡者领域与分身的冲突
分身侧关闭重复成长机制
友军 Boss leash 锚最近玩家</t>
  </si>
  <si>
    <t>二、分身奇遇系统（修复）
分身同步亡者领域专属字段
修复 Boss leash 漏认分身 tag
排查死亡惩罚/资源扣除路径</t>
  </si>
  <si>
    <t>三、抽卡系统（重构）
修复 UR 爆率 28% 的 bug
改为按稀有度概率两段抽卡
SSR/UR 软保底递增机制
中奖后对应保底计数清零
档位空时自动下沉兜底</t>
  </si>
  <si>
    <t>四、世界 Boss / Boss / 怪物
调整 Bat、BossBat 数值行为
调整 BossMushroomMan 战斗逻辑
修改世界 Boss 系列基础类
子弹基类 Bulletbase 通用修复</t>
  </si>
  <si>
    <t>五、奇遇玩法
重构 AdventureEventManager 流程
修改 AdventureOption 通用基类</t>
  </si>
  <si>
    <t>六、升级 / 技能 / 选择 UI
调整 ChoiceUI 选项展示
调整 playerupgrade 升级逻辑
调整 skillupgrade 技能升级
getnewskill 新技能解锁流程
修改 Skillbase 基础行为</t>
  </si>
  <si>
    <t>七、关卡门挑战
GateChallenge 关卡门数值调优</t>
  </si>
  <si>
    <t xml:space="preserve">八、营地 / 难度
营地 Camp 模块功能调整
难度系统 DifficultyManager 调整
难度选择界面 UI 适配
</t>
  </si>
  <si>
    <t>九、系统级 / 工具
通关记录 ClearRecord 持久化
右键返回 RightClickBack 通用化
游玩时长 PlayTime 统计调整</t>
  </si>
  <si>
    <t>2026.6.10</t>
  </si>
  <si>
    <t>持续优化抽卡逻辑，制作N8存档装备，继续优化亡者领域相关，现已经完成几乎所有亡者领域的内容，同步新增加三个SSR装备，重新设计抽卡数量和难度</t>
  </si>
  <si>
    <t>2026.7.7</t>
  </si>
  <si>
    <t>本月制作N9-N13，后续制作好感度装备和无尽挂机模式，励志在七月做出试玩版的体量</t>
  </si>
  <si>
    <t>2026.7.10</t>
  </si>
  <si>
    <t>N9-N13全部制作完毕，剩下未做的有：狼人社群史莱姆社群的好感度装备</t>
  </si>
  <si>
    <t>无尽模式</t>
  </si>
  <si>
    <t>√</t>
  </si>
  <si>
    <t>传送门boss</t>
  </si>
  <si>
    <t>营地模式</t>
  </si>
  <si>
    <t>无尽模式，自动选取升级模式</t>
  </si>
  <si>
    <t>存档装备系统</t>
  </si>
  <si>
    <t>功能说明</t>
  </si>
  <si>
    <t>一、功能开启以及入口位置</t>
  </si>
  <si>
    <r>
      <rPr>
        <sz val="10"/>
        <color rgb="FF000000"/>
        <rFont val="微软雅黑"/>
        <charset val="134"/>
      </rPr>
      <t>主页面进入，未开启时</t>
    </r>
    <r>
      <rPr>
        <sz val="10"/>
        <color rgb="FFFF0000"/>
        <rFont val="微软雅黑"/>
        <charset val="134"/>
      </rPr>
      <t>隐藏</t>
    </r>
  </si>
  <si>
    <t>功能入口在如下位置，即开始游戏与退出游戏之间</t>
  </si>
  <si>
    <t>二、界面内容以及开启</t>
  </si>
  <si>
    <r>
      <rPr>
        <sz val="10"/>
        <color rgb="FF000000"/>
        <rFont val="微软雅黑"/>
        <charset val="134"/>
      </rPr>
      <t>分为</t>
    </r>
    <r>
      <rPr>
        <sz val="10"/>
        <color rgb="FF00B050"/>
        <rFont val="微软雅黑"/>
        <charset val="134"/>
      </rPr>
      <t>存档装备库</t>
    </r>
    <r>
      <rPr>
        <sz val="10"/>
        <color rgb="FF000000"/>
        <rFont val="微软雅黑"/>
        <charset val="134"/>
      </rPr>
      <t>以及</t>
    </r>
    <r>
      <rPr>
        <sz val="10"/>
        <color rgb="FF00B0F0"/>
        <rFont val="微软雅黑"/>
        <charset val="134"/>
      </rPr>
      <t>描述说明界面</t>
    </r>
    <r>
      <rPr>
        <sz val="10"/>
        <color rgb="FF000000"/>
        <rFont val="微软雅黑"/>
        <charset val="134"/>
      </rPr>
      <t>，其中在存档库上方有存档装备分类，可通过点击切换存档装备库类型</t>
    </r>
  </si>
  <si>
    <t>装备库中的所有装备固定，类似成就，初始未解锁图标为灰色，解锁后显示为原色</t>
  </si>
  <si>
    <t>当点击装备图标时，右侧描述说明界面依次显示【装备名称】【装备描述】【装备获取方法】</t>
  </si>
  <si>
    <r>
      <rPr>
        <sz val="10"/>
        <color rgb="FF000000"/>
        <rFont val="微软雅黑"/>
        <charset val="134"/>
      </rPr>
      <t>其中，在未获得时不显示装备描述，但显示</t>
    </r>
    <r>
      <rPr>
        <sz val="10"/>
        <color rgb="FFFF0000"/>
        <rFont val="微软雅黑"/>
        <charset val="134"/>
      </rPr>
      <t>装备获取方法</t>
    </r>
  </si>
  <si>
    <t>三、存档装备综述</t>
  </si>
  <si>
    <r>
      <rPr>
        <sz val="10"/>
        <color rgb="FF000000"/>
        <rFont val="微软雅黑"/>
        <charset val="134"/>
      </rPr>
      <t>存档装备在游戏开始时提供格外属性，属于</t>
    </r>
    <r>
      <rPr>
        <sz val="10"/>
        <color rgb="FFFF0000"/>
        <rFont val="微软雅黑"/>
        <charset val="134"/>
      </rPr>
      <t>固定加成</t>
    </r>
  </si>
  <si>
    <t xml:space="preserve"> 存档装备的解锁方式并不固定，类似彩蛋与成就，详情可见存档装备种类</t>
  </si>
  <si>
    <t>存档装备一旦解锁，永久解锁并且存储在本地，因此称作存档装备</t>
  </si>
  <si>
    <t>四、存档装备种类</t>
  </si>
  <si>
    <t>存档装备分为【通关装备】【成就装备】【好感度装备】【抽卡装备】【继承装备】</t>
  </si>
  <si>
    <t>通关装备</t>
  </si>
  <si>
    <t>【通关装备】</t>
  </si>
  <si>
    <t>在通关对应难度的游戏后随机解锁，例如N1中有三个存档装备，通关后随机解锁其中之一，挑战高难度的必须提升途径</t>
  </si>
  <si>
    <r>
      <rPr>
        <sz val="10"/>
        <color rgb="FF000000"/>
        <rFont val="微软雅黑"/>
        <charset val="134"/>
      </rPr>
      <t>其中，如果获得了重复的存档装备，则获得</t>
    </r>
    <r>
      <rPr>
        <b/>
        <sz val="10"/>
        <color rgb="FFFF0000"/>
        <rFont val="微软雅黑"/>
        <charset val="134"/>
      </rPr>
      <t>积分</t>
    </r>
    <r>
      <rPr>
        <sz val="10"/>
        <color rgb="FF000000"/>
        <rFont val="微软雅黑"/>
        <charset val="134"/>
      </rPr>
      <t>，积分可用于</t>
    </r>
    <r>
      <rPr>
        <b/>
        <sz val="10"/>
        <color rgb="FFFF0000"/>
        <rFont val="微软雅黑"/>
        <charset val="134"/>
      </rPr>
      <t>手动兑换</t>
    </r>
    <r>
      <rPr>
        <sz val="10"/>
        <color rgb="FF000000"/>
        <rFont val="微软雅黑"/>
        <charset val="134"/>
      </rPr>
      <t>通关装备</t>
    </r>
  </si>
  <si>
    <t>(增加一点点肝度</t>
  </si>
  <si>
    <t>成就装备</t>
  </si>
  <si>
    <t>【成就装备】</t>
  </si>
  <si>
    <t>在达成某些彩蛋时会获得的隐藏装备，这类装备不显示获取途径，需要玩家自主探索</t>
  </si>
  <si>
    <r>
      <rPr>
        <sz val="10"/>
        <color rgb="FF000000"/>
        <rFont val="微软雅黑"/>
        <charset val="134"/>
      </rPr>
      <t>成就装备的设计主要提供</t>
    </r>
    <r>
      <rPr>
        <b/>
        <sz val="10"/>
        <color rgb="FF4472C4"/>
        <rFont val="微软雅黑"/>
        <charset val="134"/>
      </rPr>
      <t>自动化功能</t>
    </r>
    <r>
      <rPr>
        <sz val="10"/>
        <color rgb="FF000000"/>
        <rFont val="微软雅黑"/>
        <charset val="134"/>
      </rPr>
      <t>，提升玩家游戏体验</t>
    </r>
  </si>
  <si>
    <t>好感度装备</t>
  </si>
  <si>
    <t>【好感度装备】</t>
  </si>
  <si>
    <r>
      <rPr>
        <sz val="10"/>
        <color rgb="FF000000"/>
        <rFont val="微软雅黑"/>
        <charset val="134"/>
      </rPr>
      <t>在完成NPC的任务后解锁，例如保护NPC一定时间后提升好感度，或是击杀世界boss，在好感度达到一定数值后解锁，这类装备不但提供数值，还用于</t>
    </r>
    <r>
      <rPr>
        <b/>
        <sz val="10"/>
        <color rgb="FFFF0000"/>
        <rFont val="微软雅黑"/>
        <charset val="134"/>
      </rPr>
      <t>解锁新功能</t>
    </r>
  </si>
  <si>
    <t>抽卡装备</t>
  </si>
  <si>
    <t>【抽卡装备】</t>
  </si>
  <si>
    <t>抽卡获得的装备，详细请见抽卡系统，其中装备的稀有度分为【R】【SR】【SSR】【UR】分别为蓝色，紫色，金色，红色</t>
  </si>
  <si>
    <r>
      <rPr>
        <sz val="10"/>
        <color rgb="FF000000"/>
        <rFont val="微软雅黑"/>
        <charset val="134"/>
      </rPr>
      <t>抽卡装备和通关装备类似，但是SSR与UR会解锁新的</t>
    </r>
    <r>
      <rPr>
        <b/>
        <sz val="10"/>
        <color rgb="FFFF0000"/>
        <rFont val="微软雅黑"/>
        <charset val="134"/>
      </rPr>
      <t>可用升级</t>
    </r>
  </si>
  <si>
    <t>【继承装备】</t>
  </si>
  <si>
    <t>需要刷取词条的装备，提供大量数值加成</t>
  </si>
  <si>
    <t>奇遇事件</t>
  </si>
  <si>
    <t>每获取九个奇遇，即可选择一项真实，真实相当于不同的故事时间线</t>
  </si>
  <si>
    <t>前期可获得</t>
  </si>
  <si>
    <t>数量限制</t>
  </si>
  <si>
    <t>真实</t>
  </si>
  <si>
    <t>名称</t>
  </si>
  <si>
    <t>女娲补天失败了？</t>
  </si>
  <si>
    <t>暴虐君王</t>
  </si>
  <si>
    <t>描述</t>
  </si>
  <si>
    <t>天上出现了很多次元裂缝，这导致怪物的数量增多了</t>
  </si>
  <si>
    <t>你厌倦了这无限轮回的戏码</t>
  </si>
  <si>
    <t>效果</t>
  </si>
  <si>
    <t>增加两个刷怪点，并提高20%最大刷怪上限</t>
  </si>
  <si>
    <t>摧毁所有的社群与世界BOSS，每摧毁一个为自己提供一次属性翻倍与复活机会，立刻进入BOSS战</t>
  </si>
  <si>
    <t>属性翻倍为指数级增长</t>
  </si>
  <si>
    <t>人格解离</t>
  </si>
  <si>
    <t>你感觉自己有丝分裂了...</t>
  </si>
  <si>
    <t>克隆玩家，克隆体与角色血量上限对半分，克隆体继承玩家30%属性和玩家技能列表中随机一半技能</t>
  </si>
  <si>
    <t>逃离</t>
  </si>
  <si>
    <t>或许，有逃离的办法...</t>
  </si>
  <si>
    <t>蚂蚁召唤人类</t>
  </si>
  <si>
    <t>进入虚空</t>
  </si>
  <si>
    <t>你把一大堆的源木放在地上，却没有召唤出任何东西</t>
  </si>
  <si>
    <t>撤销本次奇遇，返还源木</t>
  </si>
  <si>
    <t>寻找无尽源木</t>
  </si>
  <si>
    <t>世界，遗忘我</t>
  </si>
  <si>
    <t>出发雷霆号，寻找无尽源木</t>
  </si>
  <si>
    <t>那柄钥匙剑，最终还是刺向了自己</t>
  </si>
  <si>
    <t>每秒源木＋2，立刻获得50源木</t>
  </si>
  <si>
    <t>每秒扣除0.5%的生命值，怪物不再索敌你</t>
  </si>
  <si>
    <t>Something for nothing</t>
  </si>
  <si>
    <t>无敌30秒</t>
  </si>
  <si>
    <t>这个选项不该出现在这里的...</t>
  </si>
  <si>
    <t>牺牲</t>
  </si>
  <si>
    <t>“燃烧自己的生命，做出牺牲，升上天堂。”</t>
  </si>
  <si>
    <t>自己掰开</t>
  </si>
  <si>
    <t>立刻死亡，在下局开始时继承当前角色属性</t>
  </si>
  <si>
    <t>你把经验石掰成两半用，真好用</t>
  </si>
  <si>
    <t>经验石触发两次</t>
  </si>
  <si>
    <t>源木投掷者</t>
  </si>
  <si>
    <t>直面源头</t>
  </si>
  <si>
    <t>你把源木扔出去了</t>
  </si>
  <si>
    <t>我绝不接受这样的结局</t>
  </si>
  <si>
    <t>清空源木，每扣除50源木增加一点攻击</t>
  </si>
  <si>
    <t>将关底BOSS替换为？？？</t>
  </si>
  <si>
    <t>愚弄</t>
  </si>
  <si>
    <t>你欺骗了那扇灰白色的门，假装自己未收到赐福</t>
  </si>
  <si>
    <t>门挑战的进度重置</t>
  </si>
  <si>
    <t>风险抹杀</t>
  </si>
  <si>
    <t>我说割草不如刮痧有没有懂的</t>
  </si>
  <si>
    <t>怪物血量翻倍，伤害减半</t>
  </si>
  <si>
    <t>源木收集者</t>
  </si>
  <si>
    <t>money is power</t>
  </si>
  <si>
    <t>每持有100源木，增加一点攻击力和一点防御力（选择后动态实时生效）</t>
  </si>
  <si>
    <t>属性</t>
  </si>
  <si>
    <t>字段</t>
  </si>
  <si>
    <t>说明</t>
  </si>
  <si>
    <t>生效位置</t>
  </si>
  <si>
    <t>初始数值</t>
  </si>
  <si>
    <t>生命值</t>
  </si>
  <si>
    <t>health / healthmax</t>
  </si>
  <si>
    <t>当前血量 / 血量上限</t>
  </si>
  <si>
    <t>受击时扣除</t>
  </si>
  <si>
    <t>攻击力</t>
  </si>
  <si>
    <t>atk</t>
  </si>
  <si>
    <t>附加到子弹伤害上</t>
  </si>
  <si>
    <t>Bulletbase.OnTriggerEnter</t>
  </si>
  <si>
    <t>（1+攻击力*0.1）*技能伤害</t>
  </si>
  <si>
    <t>防御力</t>
  </si>
  <si>
    <t>def</t>
  </si>
  <si>
    <t>减少受到的伤害</t>
  </si>
  <si>
    <t>Bulletbase.OnTriggerEnter（敌人def减子弹伤害）</t>
  </si>
  <si>
    <t>速度</t>
  </si>
  <si>
    <t>speed</t>
  </si>
  <si>
    <t>移动速度</t>
  </si>
  <si>
    <t>Player.Update</t>
  </si>
  <si>
    <t>暴击率</t>
  </si>
  <si>
    <t>CR</t>
  </si>
  <si>
    <t>0~100，触发暴击的概率</t>
  </si>
  <si>
    <t>暴击伤害</t>
  </si>
  <si>
    <t>CD</t>
  </si>
  <si>
    <t>暴击时伤害倍率（/100）</t>
  </si>
  <si>
    <t>闪避率</t>
  </si>
  <si>
    <t>EVA</t>
  </si>
  <si>
    <t>0~100，闪避敌人攻击的概率</t>
  </si>
  <si>
    <t>enemy.OnCollisionEnter（闪避近战）、Bulletbase.OnTriggerEnter（敌人EVA闪避子弹）</t>
  </si>
  <si>
    <t>掉落率</t>
  </si>
  <si>
    <t>DR</t>
  </si>
  <si>
    <t>影响经验石掉落</t>
  </si>
  <si>
    <t>直接增加经验值获取量</t>
  </si>
  <si>
    <t>经验</t>
  </si>
  <si>
    <t>exp / expmax</t>
  </si>
  <si>
    <t>当前经验 / 升级所需经验</t>
  </si>
  <si>
    <t>getexp.cs</t>
  </si>
  <si>
    <t>等级</t>
  </si>
  <si>
    <t>level</t>
  </si>
  <si>
    <t>当前等级</t>
  </si>
  <si>
    <t>Player.levelup()</t>
  </si>
  <si>
    <t>自然回血</t>
  </si>
  <si>
    <t>regen</t>
  </si>
  <si>
    <t>每秒恢复X点血量</t>
  </si>
  <si>
    <t>updata</t>
  </si>
  <si>
    <t>难度</t>
  </si>
  <si>
    <t>游戏时间</t>
  </si>
  <si>
    <t>怪物血量（暂定）</t>
  </si>
  <si>
    <t>怪物攻击（暂定）</t>
  </si>
  <si>
    <t>开放功能</t>
  </si>
  <si>
    <t>奖励</t>
  </si>
  <si>
    <t>存档装备</t>
  </si>
  <si>
    <t>关底boss</t>
  </si>
  <si>
    <t>世界boss</t>
  </si>
  <si>
    <t>N1</t>
  </si>
  <si>
    <t>*1.0</t>
  </si>
  <si>
    <t>*0.9</t>
  </si>
  <si>
    <t>基础三选一玩法</t>
  </si>
  <si>
    <t>新手教程难度，通关一次就够</t>
  </si>
  <si>
    <t>解锁初始风箭技能</t>
  </si>
  <si>
    <t>N2</t>
  </si>
  <si>
    <t>*1.8</t>
  </si>
  <si>
    <t>*1.1</t>
  </si>
  <si>
    <t>蘑菇人boss</t>
  </si>
  <si>
    <t>开始解锁通关装备</t>
  </si>
  <si>
    <t>解锁蘑菇滑板</t>
  </si>
  <si>
    <t>0~2</t>
  </si>
  <si>
    <t>蘑菇boss</t>
  </si>
  <si>
    <t>N3</t>
  </si>
  <si>
    <t>开放奇遇功能</t>
  </si>
  <si>
    <t>看似最普通的难度</t>
  </si>
  <si>
    <t>3~5</t>
  </si>
  <si>
    <t>N4</t>
  </si>
  <si>
    <t>*3.0</t>
  </si>
  <si>
    <t>*1.4</t>
  </si>
  <si>
    <t>加入蝙蝠敌人</t>
  </si>
  <si>
    <t>6~8</t>
  </si>
  <si>
    <t>N5</t>
  </si>
  <si>
    <t>*8.0</t>
  </si>
  <si>
    <t>*2.0</t>
  </si>
  <si>
    <t>开放门挑战</t>
  </si>
  <si>
    <t>9~11</t>
  </si>
  <si>
    <t>N6</t>
  </si>
  <si>
    <t>*13.0</t>
  </si>
  <si>
    <t>*2.5</t>
  </si>
  <si>
    <t>蘑菇boss＊2</t>
  </si>
  <si>
    <t>12~14</t>
  </si>
  <si>
    <t>蘑菇boss*2</t>
  </si>
  <si>
    <t>N7</t>
  </si>
  <si>
    <t>*20.0</t>
  </si>
  <si>
    <t>蝙蝠社群boss登场</t>
  </si>
  <si>
    <t>解锁世界boss</t>
  </si>
  <si>
    <t>15~17</t>
  </si>
  <si>
    <t>吸血鬼boss</t>
  </si>
  <si>
    <t>N8</t>
  </si>
  <si>
    <t>*25.0</t>
  </si>
  <si>
    <t>*3.5</t>
  </si>
  <si>
    <t>理论上反复刷的难度</t>
  </si>
  <si>
    <t>18~20</t>
  </si>
  <si>
    <t>N9</t>
  </si>
  <si>
    <t>*32.0</t>
  </si>
  <si>
    <t>*4.0</t>
  </si>
  <si>
    <t>加入新小怪（狼人社群</t>
  </si>
  <si>
    <t>21~23</t>
  </si>
  <si>
    <t>狼人boss</t>
  </si>
  <si>
    <t>N10</t>
  </si>
  <si>
    <t>*41.0</t>
  </si>
  <si>
    <t>*4.5</t>
  </si>
  <si>
    <t>狼人社群boss</t>
  </si>
  <si>
    <t>蝙蝠boss加入世界boss</t>
  </si>
  <si>
    <t>18~21</t>
  </si>
  <si>
    <t>N11</t>
  </si>
  <si>
    <t>*52.0</t>
  </si>
  <si>
    <t>*5.0</t>
  </si>
  <si>
    <t>加入新小怪（史莱姆社群）</t>
  </si>
  <si>
    <t>21~24</t>
  </si>
  <si>
    <t>史莱姆boss</t>
  </si>
  <si>
    <t>N12</t>
  </si>
  <si>
    <t>*65.0</t>
  </si>
  <si>
    <t>*5.5</t>
  </si>
  <si>
    <t>史莱姆社群boss</t>
  </si>
  <si>
    <t>狼人boss加入世界boss</t>
  </si>
  <si>
    <t>18~22</t>
  </si>
  <si>
    <t>史莱姆boss*2</t>
  </si>
  <si>
    <t>N13</t>
  </si>
  <si>
    <t>*80.0</t>
  </si>
  <si>
    <t>*6.0</t>
  </si>
  <si>
    <t>龙boss</t>
  </si>
  <si>
    <t>史莱姆boss加入世界boss</t>
  </si>
  <si>
    <t>21~25</t>
  </si>
  <si>
    <t>龙前一周目完结</t>
  </si>
  <si>
    <t>你解放了它最喜欢的坐骑，它很不满，降下了诅咒</t>
  </si>
  <si>
    <t>主要是提供基础数值的装备，不具有特殊功能</t>
  </si>
  <si>
    <t>加成</t>
  </si>
  <si>
    <t>每个重复装备获得的积分</t>
  </si>
  <si>
    <t>兑换该难度装备所需的积分</t>
  </si>
  <si>
    <t>初心者之剑</t>
  </si>
  <si>
    <t>攻击力＋1</t>
  </si>
  <si>
    <t>活了十分钟之后，天上掉下来的...</t>
  </si>
  <si>
    <t>初心者之甲</t>
  </si>
  <si>
    <t>生命值＋10</t>
  </si>
  <si>
    <t>衣服居然融进身体里了！？</t>
  </si>
  <si>
    <t>初心者之心</t>
  </si>
  <si>
    <t>经验效率＋1</t>
  </si>
  <si>
    <t>你的初心</t>
  </si>
  <si>
    <t>小木剑</t>
  </si>
  <si>
    <t>攻击力＋2</t>
  </si>
  <si>
    <t>现在你有两把剑了！</t>
  </si>
  <si>
    <t>小木甲</t>
  </si>
  <si>
    <t>防御力＋1</t>
  </si>
  <si>
    <t>所谓的装备，就是穿在身上像没穿一样...</t>
  </si>
  <si>
    <t>迷茫之心</t>
  </si>
  <si>
    <t>it's mygo!</t>
  </si>
  <si>
    <t>正常铁剑</t>
  </si>
  <si>
    <t>攻击力＋5</t>
  </si>
  <si>
    <t>小木剑说他可以当刀鞘...</t>
  </si>
  <si>
    <t>正常铁甲</t>
  </si>
  <si>
    <t>生命值＋50</t>
  </si>
  <si>
    <t>正常的铁甲，和这个鬼地方格格不入</t>
  </si>
  <si>
    <t>恐惧之心</t>
  </si>
  <si>
    <t>闪避率＋1</t>
  </si>
  <si>
    <t>这到底是什么鬼地方...</t>
  </si>
  <si>
    <t>源木之剑</t>
  </si>
  <si>
    <t>攻击力＋10</t>
  </si>
  <si>
    <t>源木搓成的剑，有一种莫名的感觉</t>
  </si>
  <si>
    <t>源木轻甲</t>
  </si>
  <si>
    <t>移动速度＋2</t>
  </si>
  <si>
    <t>其实是把源木直接吸收了...</t>
  </si>
  <si>
    <t>好奇之心</t>
  </si>
  <si>
    <t>暴击率＋2</t>
  </si>
  <si>
    <t>比起恐惧，变强的感觉让你心醉</t>
  </si>
  <si>
    <t>蘑菇之剑</t>
  </si>
  <si>
    <t>攻击力＋15</t>
  </si>
  <si>
    <t>到处都是的蘑菇人使用的剑</t>
  </si>
  <si>
    <t>蘑菇之甲</t>
  </si>
  <si>
    <t>生命值+100</t>
  </si>
  <si>
    <t>小小的战利品罢了...</t>
  </si>
  <si>
    <t>孢子之心</t>
  </si>
  <si>
    <t>自然回血＋1</t>
  </si>
  <si>
    <t>不知为何，你觉得自己现在能徒手撕丧尸</t>
  </si>
  <si>
    <t>熟练者之剑</t>
  </si>
  <si>
    <t>算起来，你手头好几把剑了</t>
  </si>
  <si>
    <t>熟练者之甲</t>
  </si>
  <si>
    <t>愈发不畏惧死亡</t>
  </si>
  <si>
    <t>熟练者之心</t>
  </si>
  <si>
    <t>你越来越熟悉这个地方了</t>
  </si>
  <si>
    <t>和平之剑</t>
  </si>
  <si>
    <t>攻击力＋20</t>
  </si>
  <si>
    <t>些许疲软</t>
  </si>
  <si>
    <t>和平之甲</t>
  </si>
  <si>
    <t>这个，不需要了</t>
  </si>
  <si>
    <t>和平之心</t>
  </si>
  <si>
    <t>经验效率＋3</t>
  </si>
  <si>
    <t>或许，我能为这里带来和平</t>
  </si>
  <si>
    <t>利爪之剑</t>
  </si>
  <si>
    <t>为什么非要搞成剑？！</t>
  </si>
  <si>
    <t>毛皮之甲</t>
  </si>
  <si>
    <t>防御力＋2</t>
  </si>
  <si>
    <t>没有皮草的家伙！</t>
  </si>
  <si>
    <t>野兽之心</t>
  </si>
  <si>
    <t>经验效率＋2</t>
  </si>
  <si>
    <t>欲望略微增加了</t>
  </si>
  <si>
    <t>月牙之剑</t>
  </si>
  <si>
    <t>月牙露出小尖尖</t>
  </si>
  <si>
    <t>月圆之甲</t>
  </si>
  <si>
    <t>诶哆...</t>
  </si>
  <si>
    <t>月球之心</t>
  </si>
  <si>
    <t>自然回血＋2</t>
  </si>
  <si>
    <t>我也要上月球吗</t>
  </si>
  <si>
    <t>粘液之剑</t>
  </si>
  <si>
    <t>这批装备的名字也太好取了吧</t>
  </si>
  <si>
    <t>粘液之甲</t>
  </si>
  <si>
    <t>溶解之爱...</t>
  </si>
  <si>
    <t>粘液之心</t>
  </si>
  <si>
    <t>胶粘有感觉吗</t>
  </si>
  <si>
    <t>暗影之剑</t>
  </si>
  <si>
    <t>物理学圣剑！</t>
  </si>
  <si>
    <t>暗影之甲</t>
  </si>
  <si>
    <t>史莱姆的塑性制作而成哦齁齁齁</t>
  </si>
  <si>
    <t>暗影之心</t>
  </si>
  <si>
    <t>暴击伤害＋20</t>
  </si>
  <si>
    <t>人形自走核弹来袭</t>
  </si>
  <si>
    <t>龙鳞之剑</t>
  </si>
  <si>
    <t>攻击力＋30</t>
  </si>
  <si>
    <t>好帅的一柄剑</t>
  </si>
  <si>
    <t>龙鳞之甲</t>
  </si>
  <si>
    <t>防御力＋10</t>
  </si>
  <si>
    <t>好帅的一套铠甲</t>
  </si>
  <si>
    <t>黄金瞳</t>
  </si>
  <si>
    <t>感叹没有黄金瞳的悲惨命运吧！</t>
  </si>
  <si>
    <t>成就装备的作用是推进游戏玩法，解锁更多的游戏玩法与设计</t>
  </si>
  <si>
    <r>
      <rPr>
        <sz val="10"/>
        <color rgb="FF000000"/>
        <rFont val="微软雅黑"/>
        <charset val="134"/>
      </rPr>
      <t>主要提供</t>
    </r>
    <r>
      <rPr>
        <sz val="10"/>
        <color rgb="FF417FF9"/>
        <rFont val="微软雅黑"/>
        <charset val="134"/>
      </rPr>
      <t>自动化</t>
    </r>
    <r>
      <rPr>
        <sz val="10"/>
        <color rgb="FF000000"/>
        <rFont val="微软雅黑"/>
        <charset val="134"/>
      </rPr>
      <t>功能</t>
    </r>
  </si>
  <si>
    <t>编号</t>
  </si>
  <si>
    <t>解锁方式</t>
  </si>
  <si>
    <t>备注</t>
  </si>
  <si>
    <t>初始武器</t>
  </si>
  <si>
    <t>解锁初始风箭能力，每个等级增加20血上限</t>
  </si>
  <si>
    <t>射出气流的能力吗...？</t>
  </si>
  <si>
    <t>降临世界</t>
  </si>
  <si>
    <t>大手子</t>
  </si>
  <si>
    <t>增加经验石拾取范围</t>
  </si>
  <si>
    <t>一个手子帮你接住了散落的经验石</t>
  </si>
  <si>
    <t>点击主页面的草</t>
  </si>
  <si>
    <t>蘑菇滑板</t>
  </si>
  <si>
    <t>解锁冲刺技能（space）</t>
  </si>
  <si>
    <t>你的意思是你把蘑菇王做成了滑板？！</t>
  </si>
  <si>
    <t>首次击败蘑菇王</t>
  </si>
  <si>
    <t>钥匙剑</t>
  </si>
  <si>
    <t>解锁世界boss奖励</t>
  </si>
  <si>
    <t>不止可以开门，还可以让boss摆脱宿命，或许他们会感激你？</t>
  </si>
  <si>
    <t>初次进行门挑战</t>
  </si>
  <si>
    <t>门和钥匙是世界位格的物品，因此可以打破世界屏障和世界意识</t>
  </si>
  <si>
    <t>沙漏</t>
  </si>
  <si>
    <t>解锁游戏二倍速功能</t>
  </si>
  <si>
    <t>时间是永恒的变量，却只是相对的概念</t>
  </si>
  <si>
    <t>游戏时间&gt;30分钟</t>
  </si>
  <si>
    <t>扎营大师</t>
  </si>
  <si>
    <t>开局将营地吸引到自己周围</t>
  </si>
  <si>
    <t>扎营技术一流，你一眼就能发现附近的营地</t>
  </si>
  <si>
    <t>攻占营地100次</t>
  </si>
  <si>
    <t>孢子异变</t>
  </si>
  <si>
    <t>现在会出现五颜六色的蘑菇人！</t>
  </si>
  <si>
    <t>你听说过兽视症吗？和那个差不多</t>
  </si>
  <si>
    <t>击败五百个蘑菇敌人</t>
  </si>
  <si>
    <t>万象天引</t>
  </si>
  <si>
    <t>每隔一分钟，将全图的经验石吸引到自己周围</t>
  </si>
  <si>
    <t>真是方便的能力啊</t>
  </si>
  <si>
    <t>在单局内达到五十级</t>
  </si>
  <si>
    <t>不可视之手</t>
  </si>
  <si>
    <t>解锁自动选取升级功能</t>
  </si>
  <si>
    <t>有一只手在帮你选择升级，还不快谢谢他</t>
  </si>
  <si>
    <t>累计选择两百次升级</t>
  </si>
  <si>
    <t>蘑菇社群</t>
  </si>
  <si>
    <t>好感度获取方法</t>
  </si>
  <si>
    <t>好感度是每个社群拥有的独立计数的一个数值槽，范围（0~100）</t>
  </si>
  <si>
    <t>在解锁蘑菇滑板后，好感度＋10</t>
  </si>
  <si>
    <t>好感度是一个局外保存的变量，类似装备存档，不会因每局重置而变化</t>
  </si>
  <si>
    <t>每击败一次蘑菇人boss，好感度＋1</t>
  </si>
  <si>
    <t>在蘑菇人boss退场之后，会出现蘑菇人领地与蘑菇社群</t>
  </si>
  <si>
    <t>在击败蘑菇世界boss后，会解锁蘑菇社群，与其互动会获得局内成长，格外触发一次源奖励（抽奖资源）</t>
  </si>
  <si>
    <t>好感度奖励</t>
  </si>
  <si>
    <t>局内成长</t>
  </si>
  <si>
    <t>存档装备：孢子之心</t>
  </si>
  <si>
    <t>解锁技能：孢子领域</t>
  </si>
  <si>
    <t>心的共鸣，会带来力量</t>
  </si>
  <si>
    <t>对范围内敌人同时造成伤害</t>
  </si>
  <si>
    <t>移动速度＋1</t>
  </si>
  <si>
    <t>孢子领域伤害＋1</t>
  </si>
  <si>
    <t>存档装备：孢子喷射器</t>
  </si>
  <si>
    <t>蘑菇滑板冷却－50％</t>
  </si>
  <si>
    <t>蘑菇人的科技也在进步啊～</t>
  </si>
  <si>
    <t>孢子领域冷却－1</t>
  </si>
  <si>
    <t>孢子领域范围＋5</t>
  </si>
  <si>
    <t>存档装备：蘑菇宝宝</t>
  </si>
  <si>
    <t>解锁宠物：蘑菇宝宝</t>
  </si>
  <si>
    <t>你收到了一个特别的礼物：一个崭新的孢子！或许你可以把它养大...</t>
  </si>
  <si>
    <t>在好感度达到下一个阶段，会自动解锁之前所有的奖励与加成</t>
  </si>
  <si>
    <t>初始拥有孢子领域技能</t>
  </si>
  <si>
    <t>局内成长只会在击杀对应世界boss后生效（除了100好感的初始拥有技能）</t>
  </si>
  <si>
    <t>正常会跟在玩家身旁，如果周围有怪物则会躲起来（Hide），然后在怪物距离其特别近的时候钻出（pop）并造成伤害，该技能有冷却，冷却期间会跟随玩家</t>
  </si>
  <si>
    <t>蝙蝠社群</t>
  </si>
  <si>
    <t>在解锁吸血鬼大君后，好感度＋10</t>
  </si>
  <si>
    <t>每击败一次吸血鬼boss，好感度＋1</t>
  </si>
  <si>
    <t>在吸血鬼boss退场之后，会出现吸血鬼领地与吸血鬼社群</t>
  </si>
  <si>
    <t>在击败吸血鬼世界boss后，会解锁吸血鬼社群，与其互动会获得局内成长，格外触发一次源奖励（抽奖资源）</t>
  </si>
  <si>
    <t>经验效率＋5</t>
  </si>
  <si>
    <t>存档装备：吸血鬼大君</t>
  </si>
  <si>
    <t>解锁技能：血族血统</t>
  </si>
  <si>
    <t>召唤蝙蝠攻击附近的敌人并返回主角身边</t>
  </si>
  <si>
    <t>血族血统冷却-20%</t>
  </si>
  <si>
    <t>存档装备：血族之力</t>
  </si>
  <si>
    <t>血族血统技能自带吸血效果</t>
  </si>
  <si>
    <t>血族的血统与你进一步融合</t>
  </si>
  <si>
    <t>血族血统范围+10</t>
  </si>
  <si>
    <t>血族血统数量+1</t>
  </si>
  <si>
    <t>存档装备：蝙蝠宝宝</t>
  </si>
  <si>
    <t>解锁宠物：蝙蝠宝宝</t>
  </si>
  <si>
    <t>冷血的种族反而乐于助人，尤其是护短这一块</t>
  </si>
  <si>
    <t>初始拥有血族血统技能</t>
  </si>
  <si>
    <t>血族血统技能初始数量+1</t>
  </si>
  <si>
    <t>狼人社群</t>
  </si>
  <si>
    <t>在解锁月牙吊坠后，好感度＋10</t>
  </si>
  <si>
    <t>每击败一次狼人boss，好感度＋1</t>
  </si>
  <si>
    <t>在狼人boss退场之后，会出现狼人社群</t>
  </si>
  <si>
    <t>在击败狼人世界boss后，会解锁社群，会获得局内成长，格外触发一次源奖励（抽奖资源）</t>
  </si>
  <si>
    <t>存档装备：月牙吊坠</t>
  </si>
  <si>
    <t>解锁技能：命途：寄生</t>
  </si>
  <si>
    <t>像动漫寄生兽一样，手指像橡胶人一样伸出，尖端是狼人利爪，会伸出攻击敌人并缩回</t>
  </si>
  <si>
    <t>类似触手一样的攻击方式，自带1%吸血效果</t>
  </si>
  <si>
    <t>命途：寄生冷却-20%</t>
  </si>
  <si>
    <t>存档装备：寄生的暗种</t>
  </si>
  <si>
    <t>命途：寄生技能会弹射一次</t>
  </si>
  <si>
    <t>你仿佛看到了那悬崖边上的红月</t>
  </si>
  <si>
    <t>命途：寄生范围+10</t>
  </si>
  <si>
    <t>会在命中敌人后再次索敌附近的另一位敌人</t>
  </si>
  <si>
    <t>命途：寄生数量+1</t>
  </si>
  <si>
    <t>存档装备：红月分身</t>
  </si>
  <si>
    <t>解锁宠物：红月分身</t>
  </si>
  <si>
    <t>你是我的暗种，这不叫监视，叫保护</t>
  </si>
  <si>
    <t>初始拥有命途：寄生</t>
  </si>
  <si>
    <t>命途：寄生技能初始数量+1</t>
  </si>
  <si>
    <t>像眼睛一样的血红微缩月亮跟在脑袋旁边</t>
  </si>
  <si>
    <t>卡池中可获得的物品总量是固定的，抽一个少一个</t>
  </si>
  <si>
    <t>第一卡池：</t>
  </si>
  <si>
    <t>和平自然</t>
  </si>
  <si>
    <t>UR</t>
  </si>
  <si>
    <t>UR将解锁技能的进化形态，进化后会删除原有技能（风箭除外）</t>
  </si>
  <si>
    <t>SSR</t>
  </si>
  <si>
    <t>SSR将提供格外的初始加成</t>
  </si>
  <si>
    <t>SR</t>
  </si>
  <si>
    <t>SR将提供一些微小的数值</t>
  </si>
  <si>
    <t>R</t>
  </si>
  <si>
    <t>R是大份</t>
  </si>
  <si>
    <t>加入卡池</t>
  </si>
  <si>
    <t>风之形</t>
  </si>
  <si>
    <t>解锁风箭技能进化：风箭命中敌人时有概率召唤风刃追踪附近敌人</t>
  </si>
  <si>
    <t>初始加入</t>
  </si>
  <si>
    <t>便携营地</t>
  </si>
  <si>
    <t xml:space="preserve">每局开局刷新的可攻占营地数＋2 </t>
  </si>
  <si>
    <t>经验灵果</t>
  </si>
  <si>
    <t>经验效率+0.1</t>
  </si>
  <si>
    <t>（共2经验效率）</t>
  </si>
  <si>
    <t>初始加入20个</t>
  </si>
  <si>
    <t>remake</t>
  </si>
  <si>
    <t>升级选项刷新次数+1</t>
  </si>
  <si>
    <t>初始加入100个</t>
  </si>
  <si>
    <t>之后每累计一百抽加入50个</t>
  </si>
  <si>
    <t>技能进化条件：在风箭攻击范围&gt;=10，多重数量&gt;=2且拥有飓风技能时加入进化选项</t>
  </si>
  <si>
    <t>地狱火</t>
  </si>
  <si>
    <t>解锁火球术技能进化：每隔一段时间召唤地狱三叉戟攻击最近的敌人</t>
  </si>
  <si>
    <t>通关N3后加入</t>
  </si>
  <si>
    <t>白色杀手</t>
  </si>
  <si>
    <t>对门挑战怪物增伤20％</t>
  </si>
  <si>
    <t>抽奖次数&gt;50</t>
  </si>
  <si>
    <t>攻击灵果</t>
  </si>
  <si>
    <t>初始攻击力＋0.1</t>
  </si>
  <si>
    <t>（共5攻击）</t>
  </si>
  <si>
    <t>初始加入50个</t>
  </si>
  <si>
    <t>量子源木</t>
  </si>
  <si>
    <t>开局源木+1</t>
  </si>
  <si>
    <t>之后每累计两百抽加入50个</t>
  </si>
  <si>
    <t>技能强化条件：学习条件为：风箭多重&gt;=2且火球多重&gt;=2</t>
  </si>
  <si>
    <t>地狱火的数量=风箭+火球术的数量，如果进化后吞噬掉了火球术，那么地狱火的多重数量固定为进化一瞬间的数量，</t>
  </si>
  <si>
    <t>之后如果风箭多重数量变化，地狱火变动相同的值，如果进化后没有吞噬掉火球术，那么地狱火数量=风箭多重数量+火球术数量</t>
  </si>
  <si>
    <t>伤害和冷却继承火球术，如果火球术被吞噬则固定，若没有则同步继承变化</t>
  </si>
  <si>
    <t>亡者领域</t>
  </si>
  <si>
    <t>解锁孢子领域技能进化：被孢子领域击杀的敌人会变为友军复活存在一定时间，并攻击敌人</t>
  </si>
  <si>
    <t>通关N6后加入</t>
  </si>
  <si>
    <t>启动资金</t>
  </si>
  <si>
    <t>开局升级＋3</t>
  </si>
  <si>
    <t>抽奖次数&gt;100</t>
  </si>
  <si>
    <t>防御灵果</t>
  </si>
  <si>
    <t>初始防御力＋0.1</t>
  </si>
  <si>
    <t>（共2防御）</t>
  </si>
  <si>
    <t>抽卡次数&gt;50后加入20个</t>
  </si>
  <si>
    <t>读档币</t>
  </si>
  <si>
    <t>消耗读档币*1，原地复活并继续游戏</t>
  </si>
  <si>
    <t>抽卡次数&gt;200后加入100个</t>
  </si>
  <si>
    <t>技能进化条件：风箭攻击范围&gt;=15，孢子领域攻击范围&gt;=15</t>
  </si>
  <si>
    <t>之后每累计二十抽加入1个</t>
  </si>
  <si>
    <t>特别说明：只要在死亡前受到过亡者领域的伤害就会触发复活，复活的小怪会持续掉血，复活的世界boss永久存在但拥有血条可被攻击杀死</t>
  </si>
  <si>
    <t>小怪会优先攻击被控制的世界boss，所有被控制的世界boss不会距离玩家太远，且在亡者领域触发伤害的时候会治疗被控制的世界boss</t>
  </si>
  <si>
    <t>被控制的小怪会附加一层暗淡深邃的绿色遮罩，以区分敌人与友军（颜色参考暗影岛系列），被控制的小怪会向外索敌攻击其他小怪</t>
  </si>
  <si>
    <t>被控制的小怪每秒会减少自身2%的血量，被控制的小怪也会被优先吸引敌人的仇恨</t>
  </si>
  <si>
    <t>被控制的小怪死亡会给玩家回复0.5%生命值</t>
  </si>
  <si>
    <t>苍白记忆</t>
  </si>
  <si>
    <t>开局所有技能等级上限+1</t>
  </si>
  <si>
    <t>抽奖次数&gt;150</t>
  </si>
  <si>
    <t>生命灵果</t>
  </si>
  <si>
    <t>初始生命值＋1</t>
  </si>
  <si>
    <t>（共100生命）</t>
  </si>
  <si>
    <t>抽卡次数&gt;50后加入100个</t>
  </si>
  <si>
    <t>被观测者</t>
  </si>
  <si>
    <t>未学习的技能也会获得技能等级上限奖励</t>
  </si>
  <si>
    <t>抽奖次数&gt;200</t>
  </si>
  <si>
    <t>暴击灵果</t>
  </si>
  <si>
    <t>暴击率＋0.1</t>
  </si>
  <si>
    <t>（共10暴击）</t>
  </si>
  <si>
    <t>抽卡次数&gt;100后加入100个</t>
  </si>
  <si>
    <t>虚空斗篷</t>
  </si>
  <si>
    <t>蘑菇滑板的冲刺过程中可以穿过怪物</t>
  </si>
  <si>
    <t>抽奖次数&gt;250</t>
  </si>
  <si>
    <t>暴伤灵果</t>
  </si>
  <si>
    <t>暴击伤害＋0.1</t>
  </si>
  <si>
    <t>（共30暴伤）</t>
  </si>
  <si>
    <t>抽卡次数&gt;100后加入300个</t>
  </si>
  <si>
    <t>影分身之术</t>
  </si>
  <si>
    <t>分身会时刻(按比例)同步主控的属性与技能</t>
  </si>
  <si>
    <t>抽奖次数&gt;300</t>
  </si>
  <si>
    <t>速度灵果</t>
  </si>
  <si>
    <t>移速+0.05</t>
  </si>
  <si>
    <t>抽卡次数&gt;300后加入100个</t>
  </si>
  <si>
    <t>不忘初心</t>
  </si>
  <si>
    <t>技能进化时不会删除原有技能（风箭除外）</t>
  </si>
  <si>
    <t>抽卡次数&gt;350</t>
  </si>
  <si>
    <t>我与我与我</t>
  </si>
  <si>
    <t>分身事件可选择第二次，场上最多存在2个分身</t>
  </si>
  <si>
    <t>抽卡次数&gt;400</t>
  </si>
  <si>
    <t>三清化一</t>
  </si>
  <si>
    <t>分身位置与本体重合且隐身，只保留技能效果</t>
  </si>
  <si>
    <t>抽卡次数&gt;450</t>
  </si>
  <si>
    <t>饮血剑</t>
  </si>
  <si>
    <t>全能吸血+1（回复所有来源的造成伤害1%的血量）</t>
  </si>
  <si>
    <t>抽卡次数&gt;500</t>
  </si>
  <si>
    <t>气运之子</t>
  </si>
  <si>
    <t>奇遇可选数量+1（二选一变三选一）</t>
  </si>
  <si>
    <t>抽卡次数&gt;550</t>
  </si>
  <si>
    <t>层数</t>
  </si>
  <si>
    <t>敌人数量</t>
  </si>
  <si>
    <t>敌人血量</t>
  </si>
  <si>
    <t>敌人攻击</t>
  </si>
  <si>
    <t>格外附加属性</t>
  </si>
  <si>
    <t>技能可选升级上限＋1</t>
  </si>
  <si>
    <t>在每通过一层后，在攻击力+2，防御力+2，经验效率+2，闪避率+2之间随机选择一个奖励增强玩家</t>
  </si>
  <si>
    <t>防御力：5</t>
  </si>
  <si>
    <t>移动速度：15</t>
  </si>
  <si>
    <t>闪避率10%</t>
  </si>
  <si>
    <t>防御力15</t>
  </si>
  <si>
    <t>在打通全部门挑战后则会给予经验效率+10的奖励</t>
  </si>
  <si>
    <t>BOSS</t>
  </si>
  <si>
    <t>血量</t>
  </si>
  <si>
    <t>攻击</t>
  </si>
  <si>
    <t>特殊能力</t>
  </si>
  <si>
    <t>世界BOSS加成</t>
  </si>
  <si>
    <t>社群背景</t>
  </si>
  <si>
    <t>蘑菇人BOSS</t>
  </si>
  <si>
    <t>蘑菇社群的BOSS</t>
  </si>
  <si>
    <t>具有延时冲刺技能</t>
  </si>
  <si>
    <t>属性翻倍，自然回血+5，拥有0.1%吸血</t>
  </si>
  <si>
    <t>擅长建筑的蘑菇社群</t>
  </si>
  <si>
    <t>吸血鬼BOSS</t>
  </si>
  <si>
    <t>蝙蝠社群的BOSS</t>
  </si>
  <si>
    <t>与玩家同Z轴，在距离一定范围内来回冲刺劈砍，范围外召唤小蝙蝠（10秒CD）</t>
  </si>
  <si>
    <t>擅长野外采摘食物水果的蝙蝠社群</t>
  </si>
  <si>
    <t>狼人BOSS</t>
  </si>
  <si>
    <t>狼人社群的BOSS</t>
  </si>
  <si>
    <t>初始为人形态，戴着红色元月面具，会伸出能量狼爪进行震地范围攻击（该技能有5sCD），普通追击，类似小怪</t>
  </si>
  <si>
    <t>擅长捕猎的狼人社群</t>
  </si>
  <si>
    <t>半血会快速移动到主角旁边，单手举起玩家，限制玩家移动并变成狼形态进行撕咬一爪，此时会闪过全屏猎爪特效，造成固定角色现有生命值10%伤害</t>
  </si>
  <si>
    <t>狼形态也有能量狼爪震地攻击会趴下四脚着地进行扑击处决，如果抓取到玩家则会进行处决撕咬一爪，此外常驻固定拥有1%全能吸血（10sCD）</t>
  </si>
  <si>
    <t>狼形态有四脚移动的高速冲刺状态，会来回移动且移速越来越快，并根据移速动态增加自身闪避率，最高50%。但难以转向，是类似漂移的移动方式（10sCD）</t>
  </si>
  <si>
    <t>史莱姆BOSS</t>
  </si>
  <si>
    <t>史莱姆社群的BOSS</t>
  </si>
  <si>
    <t>会吞噬周围的小怪回血上限，每吞噬一只小怪会增加5%生命值且增加5点基础攻击力（该技能有5sCD）</t>
  </si>
  <si>
    <t>擅长合成制作的史莱姆社群</t>
  </si>
  <si>
    <t>在吞噬5只小怪后会分裂出一小块史莱姆并塑性变成史莱姆长剑举在身体周围，并朝着主角的方向进行范围劈砍并挥出剑气（该攻击有10sCD）</t>
  </si>
  <si>
    <t>在吞噬10只小怪后会分裂出一小块史莱姆并塑形变成为史莱姆长弓射出贯穿箭（该攻击有10sCD）</t>
  </si>
  <si>
    <t>在血量降低到10%以下的时候会吞噬所有武器，将自己塑性为一条巨龙，使出巨大范围的龙息，释放龙息会先决定方向并等待5s前摇之后开始喷吐龙息，喷龙息过程中每秒减少2%的血量，直到血量清空（理论5s后死亡）</t>
  </si>
  <si>
    <t>龙BOSS</t>
  </si>
  <si>
    <t>类似肉山的游戏前后期分界线</t>
  </si>
  <si>
    <t>本场boss战无时间限制，在时间倒计时结束后，时间倒计时会被替换为鲜红字体的”呵呵“</t>
  </si>
  <si>
    <t>停止一切bgm，播放扇动翅膀的声音，声音越来越频繁，最后传来龙吼，然后切换到一阶段（扇动翅膀声越来越频繁这个过程有10s，然后2s龙吼之后从天而降）</t>
  </si>
  <si>
    <t>时间倒计时文字：</t>
  </si>
  <si>
    <t>1阶段：外表为红色火龙，龙吼后会砸向地面，落地后会进行扇形喷火并动态转向持续3s（该技能有10sCD），会扔出蘑菇色毒飞标，命中会持续掉血（3sCD）</t>
  </si>
  <si>
    <t>【以何救赎】</t>
  </si>
  <si>
    <t>2阶段：外表为黑色蝙蝠龙，会起飞抓取玩家并带到使用空中绞杀，播放全屏动画（10sCD），并且会施加方向键反向的debuff（被抓取则会持续5s）</t>
  </si>
  <si>
    <t>【猩红剧院】</t>
  </si>
  <si>
    <t>3阶段：外表为钢化利爪龙，会扇出慢速龙卷风，或是弹射出利爪将玩家固定在地上，如果固定在地上则会立刻释放龙卷风追击（龙卷风10sCD，弹射利爪5sCD）</t>
  </si>
  <si>
    <t>【逐无变者】</t>
  </si>
  <si>
    <t>4阶段：外表为史莱姆龙，与史莱姆BOSS的最后一阶段外形相同，拥有史莱姆boss的能力，会吞噬周围小怪，但不会回血，且会无限生成史莱姆武器（每吞噬十个小怪就会生成一把武器，每个武器独立计算技能CD）</t>
  </si>
  <si>
    <t>【无形塑者】</t>
  </si>
  <si>
    <t>5阶段：外表为黄金龙，拥有超大威压的黄金瞳，会增强周遭的小怪的属性与移速，且会无条件瞪眼强控玩家1S（但无罪不会被控，无罪会反瞪眼，播放其控制其他boss的全屏动画，强控BOSS1秒）</t>
  </si>
  <si>
    <t>【永不熄灭】</t>
  </si>
  <si>
    <t>会发射一圈的金色鳞片然后追踪玩家，并非强追踪但移速过低会无法逃脱</t>
  </si>
  <si>
    <t>每一个阶段都有正常的血量和攻击，在每个阶段死亡后出现下一个形态的龙，每个阶段的死亡都是起飞，然后下一个形态从天而降。黄金龙在死亡后的死亡动画为化为一颗金色龙鳞覆盖的蛋掉在原地</t>
  </si>
  <si>
    <t>该boss不会被亡者领域复活</t>
  </si>
  <si>
    <t>该boss为N13的关底boss，所有阶段都自带0.05%自然回血</t>
  </si>
  <si>
    <t>每击败一个世界boss，都会降低该boss的所有形态的5%攻击力，最高减少20%攻击力（独立乘区）</t>
  </si>
  <si>
    <t>营地</t>
  </si>
  <si>
    <t>基础说明</t>
  </si>
  <si>
    <t>1.营地是类似家园/大本营之类的基建类玩法，类似咩咩启示录的营地/博德之门3的长休，一个特殊的场景，同时其中有可交互的伙伴以及家园类功能</t>
  </si>
  <si>
    <t>2.营地的解锁条件为在关卡中首次找到传送门并攻占成功</t>
  </si>
  <si>
    <t>大营地相关</t>
  </si>
  <si>
    <t>1.大营地是一个类似世界BOSS的存在，但无法攻击，是类似训练假人的DPS检测员，如果玩家在全盛之后对自己的战力很满意则可前往挑战</t>
  </si>
  <si>
    <t>2.大营地的生命值越低，每秒自然回血越高，因此限制玩家需要一定的战力基础才可以击杀，但又不会一点都打不动从而导致丧失热情</t>
  </si>
  <si>
    <t>3.大营地击败后会开放营地系统，同时会根据难度解锁局内成长，大营地的定位为低难度挑战怪，高难度越早击杀收益越高</t>
  </si>
  <si>
    <t>4.大营地外表是一个传送门，在N12打败所有世界boss后并选取真实会出现在地图中央</t>
  </si>
  <si>
    <t>1.营地解锁后可通过主页面进入，类似保卫萝卜的宝宝房间/植物大战僵尸的花园等等，是一个休闲娱乐的放松区域</t>
  </si>
  <si>
    <t>2.营地实则为每个从世界意识下解救的BOSS的局外根据地，玩家自己创造的一个可以躲避正常关卡流程，和社群们开开心心的地方</t>
  </si>
  <si>
    <t>3.营地是一个galgame+slg的玩法，和boss对话可以了解剧情，同时可以消耗源来进行局外成长的解锁，类似哈迪斯/小骨/死亡细胞的开局NPC，可以提供初始便利</t>
  </si>
  <si>
    <t>4.一定要有挂机系统，钓鱼/种地/挖矿都安排上，给每个社群分配对应的任务可以做</t>
  </si>
  <si>
    <t>可操纵角色</t>
  </si>
  <si>
    <t>项目 \ 角色</t>
  </si>
  <si>
    <t>0 琪露诺</t>
  </si>
  <si>
    <t>1 南筱风</t>
  </si>
  <si>
    <t>2 夏无</t>
  </si>
  <si>
    <t>3 无罪</t>
  </si>
  <si>
    <t>开局自带技能</t>
  </si>
  <si>
    <t>—</t>
  </si>
  <si>
    <t>飓风</t>
  </si>
  <si>
    <t>火球术</t>
  </si>
  <si>
    <t>孢子领域</t>
  </si>
  <si>
    <t>推荐流派</t>
  </si>
  <si>
    <t>无，不建议玩</t>
  </si>
  <si>
    <t>站中间射四边的高射炮</t>
  </si>
  <si>
    <t>自带吸血的全自动硬刚选手</t>
  </si>
  <si>
    <t>BOSS越强我越强的喝汤选手</t>
  </si>
  <si>
    <t>风箭子弹特效</t>
  </si>
  <si>
    <t>默认（白/浅蓝）</t>
  </si>
  <si>
    <t>青蓝色</t>
  </si>
  <si>
    <t>整体染红</t>
  </si>
  <si>
    <t>紫色</t>
  </si>
  <si>
    <t>风箭 CD</t>
  </si>
  <si>
    <t>1.0s</t>
  </si>
  <si>
    <t>0.3s</t>
  </si>
  <si>
    <t xml:space="preserve">风箭 number </t>
  </si>
  <si>
    <t>3（满足地狱火多重门槛）</t>
  </si>
  <si>
    <t>2（本次新值）</t>
  </si>
  <si>
    <t>风箭 范围</t>
  </si>
  <si>
    <t>孢子领域 CD</t>
  </si>
  <si>
    <t>3s</t>
  </si>
  <si>
    <t>孢子领域 范围</t>
  </si>
  <si>
    <t>血族血统 数量</t>
  </si>
  <si>
    <t>血族血统 吸血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</si>
</sst>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theme="1"/>
      <name val="微软雅黑"/>
      <charset val="134"/>
    </font>
    <font>
      <sz val="10"/>
      <color theme="1"/>
      <name val="微软雅黑"/>
      <charset val="134"/>
    </font>
    <font>
      <b/>
      <sz val="12"/>
      <color rgb="FF000000"/>
      <name val="微软雅黑"/>
      <charset val="134"/>
    </font>
    <font>
      <b/>
      <sz val="12"/>
      <color theme="1"/>
      <name val="微软雅黑"/>
      <charset val="134"/>
    </font>
    <font>
      <b/>
      <sz val="10"/>
      <color theme="1"/>
      <name val="微软雅黑"/>
      <charset val="134"/>
    </font>
    <font>
      <sz val="10"/>
      <color rgb="FF000000"/>
      <name val="微软雅黑"/>
      <charset val="134"/>
    </font>
    <font>
      <b/>
      <sz val="10"/>
      <color rgb="FF000000"/>
      <name val="微软雅黑"/>
      <charset val="134"/>
    </font>
    <font>
      <b/>
      <sz val="16"/>
      <color rgb="FF000000"/>
      <name val="微软雅黑"/>
      <charset val="134"/>
    </font>
    <font>
      <b/>
      <sz val="16"/>
      <color theme="1"/>
      <name val="微软雅黑"/>
      <charset val="134"/>
    </font>
    <font>
      <sz val="10"/>
      <color rgb="FFFF0000"/>
      <name val="微软雅黑"/>
      <charset val="134"/>
    </font>
    <font>
      <b/>
      <sz val="14"/>
      <color rgb="FF000000"/>
      <name val="微软雅黑"/>
      <charset val="134"/>
    </font>
    <font>
      <b/>
      <sz val="14"/>
      <color theme="1"/>
      <name val="微软雅黑"/>
      <charset val="134"/>
    </font>
    <font>
      <b/>
      <sz val="14"/>
      <color rgb="FFFF0000"/>
      <name val="微软雅黑"/>
      <charset val="134"/>
    </font>
    <font>
      <sz val="10"/>
      <color rgb="FF00B0F0"/>
      <name val="微软雅黑"/>
      <charset val="134"/>
    </font>
    <font>
      <b/>
      <sz val="14"/>
      <color rgb="FFFFC000"/>
      <name val="微软雅黑"/>
      <charset val="134"/>
    </font>
    <font>
      <b/>
      <sz val="14"/>
      <color rgb="FF7030A0"/>
      <name val="微软雅黑"/>
      <charset val="134"/>
    </font>
    <font>
      <b/>
      <sz val="14"/>
      <color rgb="FF00B0F0"/>
      <name val="微软雅黑"/>
      <charset val="134"/>
    </font>
    <font>
      <sz val="10"/>
      <color rgb="FF70AD47"/>
      <name val="微软雅黑"/>
      <charset val="134"/>
    </font>
    <font>
      <b/>
      <sz val="11"/>
      <color rgb="FF000000"/>
      <name val="微软雅黑"/>
      <charset val="134"/>
    </font>
    <font>
      <b/>
      <sz val="11"/>
      <color theme="1"/>
      <name val="微软雅黑"/>
      <charset val="134"/>
    </font>
    <font>
      <sz val="10"/>
      <color rgb="FF417FF9"/>
      <name val="微软雅黑"/>
      <charset val="134"/>
    </font>
    <font>
      <sz val="10"/>
      <color rgb="FF5B9BD5"/>
      <name val="微软雅黑"/>
      <charset val="134"/>
    </font>
    <font>
      <b/>
      <sz val="10"/>
      <color rgb="FFFF0000"/>
      <name val="微软雅黑"/>
      <charset val="134"/>
    </font>
    <font>
      <b/>
      <sz val="9"/>
      <color rgb="FF000000"/>
      <name val="微软雅黑"/>
      <charset val="134"/>
    </font>
    <font>
      <sz val="10"/>
      <color rgb="FFA6A6A6"/>
      <name val="微软雅黑"/>
      <charset val="134"/>
    </font>
    <font>
      <u/>
      <sz val="10"/>
      <color rgb="FF0000FF"/>
      <name val="微软雅黑"/>
      <charset val="134"/>
    </font>
    <font>
      <sz val="10"/>
      <color rgb="FFF2F2F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B050"/>
      <name val="微软雅黑"/>
      <charset val="134"/>
    </font>
    <font>
      <b/>
      <sz val="10"/>
      <color rgb="FF4472C4"/>
      <name val="微软雅黑"/>
      <charset val="134"/>
    </font>
  </fonts>
  <fills count="35">
    <fill>
      <patternFill patternType="none"/>
    </fill>
    <fill>
      <patternFill patternType="gray125"/>
    </fill>
    <fill>
      <patternFill patternType="solid">
        <fgColor rgb="FFFFFF00"/>
        <bgColor indexed="64"/>
      </patternFill>
    </fill>
    <fill>
      <patternFill patternType="solid">
        <fgColor rgb="FFBFBFB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 applyNumberFormat="0" applyFill="0" applyAlignment="0" applyProtection="0">
      <alignment vertical="center"/>
    </xf>
    <xf numFmtId="0" fontId="33" fillId="0" borderId="2" applyNumberFormat="0" applyFill="0" applyAlignment="0" applyProtection="0">
      <alignment vertical="center"/>
    </xf>
    <xf numFmtId="0" fontId="34" fillId="0" borderId="3" applyNumberFormat="0" applyFill="0" applyAlignment="0" applyProtection="0">
      <alignment vertical="center"/>
    </xf>
    <xf numFmtId="0" fontId="34" fillId="0" borderId="0" applyNumberFormat="0" applyFill="0" applyBorder="0" applyAlignment="0" applyProtection="0">
      <alignment vertical="center"/>
    </xf>
    <xf numFmtId="0" fontId="35" fillId="5" borderId="4" applyNumberFormat="0" applyAlignment="0" applyProtection="0">
      <alignment vertical="center"/>
    </xf>
    <xf numFmtId="0" fontId="36" fillId="6" borderId="5" applyNumberFormat="0" applyAlignment="0" applyProtection="0">
      <alignment vertical="center"/>
    </xf>
    <xf numFmtId="0" fontId="37" fillId="6" borderId="4" applyNumberFormat="0" applyAlignment="0" applyProtection="0">
      <alignment vertical="center"/>
    </xf>
    <xf numFmtId="0" fontId="38" fillId="7" borderId="6" applyNumberFormat="0" applyAlignment="0" applyProtection="0">
      <alignment vertical="center"/>
    </xf>
    <xf numFmtId="0" fontId="39" fillId="0" borderId="7" applyNumberFormat="0" applyFill="0" applyAlignment="0" applyProtection="0">
      <alignment vertical="center"/>
    </xf>
    <xf numFmtId="0" fontId="40" fillId="0" borderId="8"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39">
    <xf numFmtId="0" fontId="0" fillId="0" borderId="0" xfId="0">
      <alignment vertical="center"/>
    </xf>
    <xf numFmtId="0" fontId="1" fillId="2" borderId="0" xfId="0" applyFont="1" applyFill="1" applyAlignment="1">
      <alignment vertical="center"/>
    </xf>
    <xf numFmtId="0" fontId="1" fillId="0" borderId="0" xfId="0" applyFont="1" applyFill="1" applyAlignment="1">
      <alignment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4" fillId="2" borderId="0" xfId="0" applyFont="1" applyFill="1" applyAlignment="1">
      <alignment vertical="center"/>
    </xf>
    <xf numFmtId="0" fontId="4"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vertical="center"/>
    </xf>
    <xf numFmtId="0" fontId="5" fillId="2" borderId="0" xfId="0" applyFont="1" applyFill="1" applyAlignment="1">
      <alignment vertical="center"/>
    </xf>
    <xf numFmtId="0" fontId="6" fillId="2" borderId="0" xfId="0" applyFont="1" applyFill="1" applyAlignment="1">
      <alignment vertical="center"/>
    </xf>
    <xf numFmtId="0" fontId="7" fillId="0" borderId="0" xfId="0" applyFont="1" applyFill="1" applyAlignment="1">
      <alignment horizontal="center" vertical="center"/>
    </xf>
    <xf numFmtId="0" fontId="8" fillId="0" borderId="0" xfId="0" applyFont="1" applyFill="1" applyAlignment="1">
      <alignment horizontal="center" vertical="center"/>
    </xf>
    <xf numFmtId="0" fontId="9" fillId="0" borderId="0" xfId="0" applyFont="1" applyFill="1" applyAlignment="1">
      <alignment vertical="center"/>
    </xf>
    <xf numFmtId="0" fontId="10" fillId="0" borderId="0" xfId="0" applyFont="1" applyFill="1" applyAlignment="1">
      <alignment horizontal="center"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3" fillId="0" borderId="0" xfId="0" applyFont="1" applyFill="1" applyAlignment="1">
      <alignment vertical="center"/>
    </xf>
    <xf numFmtId="0" fontId="14" fillId="0" borderId="0" xfId="0" applyFont="1" applyFill="1" applyBorder="1" applyAlignment="1">
      <alignment horizontal="center" vertical="center"/>
    </xf>
    <xf numFmtId="0" fontId="15" fillId="0" borderId="0" xfId="0" applyFont="1" applyFill="1" applyAlignment="1">
      <alignment horizontal="center" vertical="center"/>
    </xf>
    <xf numFmtId="0" fontId="16" fillId="0" borderId="0" xfId="0" applyFont="1" applyFill="1" applyAlignment="1">
      <alignment horizontal="center" vertical="center"/>
    </xf>
    <xf numFmtId="0" fontId="17" fillId="0" borderId="0" xfId="0" applyFont="1" applyFill="1" applyAlignment="1">
      <alignment vertical="center"/>
    </xf>
    <xf numFmtId="0" fontId="18" fillId="0" borderId="0" xfId="0" applyFont="1" applyFill="1" applyAlignment="1">
      <alignment horizontal="center" vertical="center"/>
    </xf>
    <xf numFmtId="0" fontId="19" fillId="0" borderId="0" xfId="0" applyFont="1" applyFill="1" applyAlignment="1">
      <alignment horizontal="center" vertical="center"/>
    </xf>
    <xf numFmtId="0" fontId="20" fillId="0" borderId="0" xfId="0" applyFont="1" applyFill="1" applyAlignment="1">
      <alignment vertical="center"/>
    </xf>
    <xf numFmtId="0" fontId="1" fillId="0" borderId="0" xfId="0" applyFont="1" applyFill="1" applyAlignment="1">
      <alignment horizontal="center" vertical="center"/>
    </xf>
    <xf numFmtId="0" fontId="21" fillId="0" borderId="0" xfId="0" applyFont="1" applyFill="1" applyAlignment="1">
      <alignment vertical="center"/>
    </xf>
    <xf numFmtId="0" fontId="1" fillId="2" borderId="0" xfId="0" applyFont="1" applyFill="1" applyAlignment="1">
      <alignment vertical="center"/>
    </xf>
    <xf numFmtId="0" fontId="1" fillId="0" borderId="0" xfId="0" applyFont="1" applyFill="1" applyAlignment="1">
      <alignment horizontal="right" vertical="center"/>
    </xf>
    <xf numFmtId="0" fontId="5" fillId="0" borderId="0" xfId="0" applyFont="1" applyFill="1" applyAlignment="1">
      <alignment horizontal="center" vertical="center"/>
    </xf>
    <xf numFmtId="0" fontId="22" fillId="0" borderId="0" xfId="0" applyFont="1" applyFill="1" applyAlignment="1">
      <alignment vertical="center"/>
    </xf>
    <xf numFmtId="0" fontId="5" fillId="0" borderId="0" xfId="0" applyNumberFormat="1" applyFont="1" applyFill="1" applyAlignment="1">
      <alignment horizontal="left" vertical="center"/>
    </xf>
    <xf numFmtId="0" fontId="5" fillId="0" borderId="0" xfId="0" applyFont="1" applyFill="1" applyAlignment="1">
      <alignment horizontal="left" vertical="center"/>
    </xf>
    <xf numFmtId="0" fontId="6" fillId="0" borderId="0" xfId="0" applyFont="1" applyFill="1" applyAlignment="1">
      <alignment horizontal="center" vertical="center"/>
    </xf>
    <xf numFmtId="0" fontId="23" fillId="2" borderId="0" xfId="0" applyFont="1" applyFill="1" applyAlignment="1">
      <alignment vertical="center"/>
    </xf>
    <xf numFmtId="0" fontId="24" fillId="0" borderId="0" xfId="0" applyFont="1" applyFill="1" applyAlignment="1">
      <alignment vertical="center"/>
    </xf>
    <xf numFmtId="0" fontId="25" fillId="0" borderId="0" xfId="6" applyFont="1">
      <alignment vertical="center"/>
    </xf>
    <xf numFmtId="0" fontId="5" fillId="0" borderId="0" xfId="0" applyFont="1" applyFill="1" applyAlignment="1">
      <alignment vertical="center" wrapText="1"/>
    </xf>
    <xf numFmtId="0" fontId="26" fillId="3"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www.wps.cn/officeDocument/2020/cellImage" Target="cellimag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8"/>
  <sheetViews>
    <sheetView tabSelected="1" workbookViewId="0">
      <selection activeCell="A1" sqref="A1:B2"/>
    </sheetView>
  </sheetViews>
  <sheetFormatPr defaultColWidth="11.3333333333333" defaultRowHeight="19.5" outlineLevelCol="6"/>
  <cols>
    <col min="1" max="16384" width="11.3333333333333" style="2"/>
  </cols>
  <sheetData>
    <row r="1" spans="1:4">
      <c r="A1" s="33" t="s">
        <v>0</v>
      </c>
      <c r="B1" s="25"/>
    </row>
    <row r="2" spans="1:4">
      <c r="A2" s="25"/>
      <c r="B2" s="25"/>
    </row>
    <row r="4" s="1" customFormat="1" spans="1:4">
      <c r="B4" s="10" t="s">
        <v>1</v>
      </c>
    </row>
    <row r="6" spans="1:4">
      <c r="B6" s="8" t="s">
        <v>2</v>
      </c>
      <c r="D6" s="36" t="s">
        <v>3</v>
      </c>
    </row>
    <row r="8" spans="1:4">
      <c r="B8" s="2">
        <v>1</v>
      </c>
      <c r="C8" s="7" t="s">
        <v>4</v>
      </c>
    </row>
    <row r="10" spans="1:4">
      <c r="B10" s="2">
        <v>2</v>
      </c>
      <c r="C10" s="7" t="s">
        <v>5</v>
      </c>
    </row>
    <row r="12" spans="1:4">
      <c r="B12" s="2">
        <v>3</v>
      </c>
      <c r="C12" s="7" t="s">
        <v>6</v>
      </c>
    </row>
    <row r="13" spans="1:4">
      <c r="B13" s="8" t="s">
        <v>7</v>
      </c>
    </row>
    <row r="14" spans="1:4">
      <c r="B14" s="2">
        <v>1</v>
      </c>
      <c r="C14" s="7" t="s">
        <v>8</v>
      </c>
      <c r="D14" s="7" t="s">
        <v>9</v>
      </c>
    </row>
    <row r="16" spans="1:4">
      <c r="B16" s="2">
        <v>2</v>
      </c>
      <c r="C16" s="7" t="s">
        <v>10</v>
      </c>
      <c r="D16" s="7" t="s">
        <v>11</v>
      </c>
    </row>
    <row r="18" spans="2:7">
      <c r="B18" s="2">
        <v>3</v>
      </c>
      <c r="C18" s="7" t="s">
        <v>12</v>
      </c>
      <c r="D18" s="7" t="s">
        <v>13</v>
      </c>
    </row>
    <row r="20" spans="2:7">
      <c r="B20" s="8" t="s">
        <v>14</v>
      </c>
    </row>
    <row r="22" spans="2:7">
      <c r="B22" s="2">
        <v>1</v>
      </c>
      <c r="C22" s="7" t="s">
        <v>15</v>
      </c>
    </row>
    <row r="23" spans="2:7">
      <c r="G23" s="26" t="s">
        <v>16</v>
      </c>
    </row>
    <row r="24" spans="2:7">
      <c r="B24" s="2">
        <v>2</v>
      </c>
      <c r="C24" s="7" t="s">
        <v>17</v>
      </c>
    </row>
    <row r="26" spans="2:7">
      <c r="B26" s="2">
        <v>3</v>
      </c>
      <c r="C26" s="7" t="s">
        <v>18</v>
      </c>
    </row>
    <row r="28" spans="2:7">
      <c r="B28" s="2">
        <v>4</v>
      </c>
      <c r="C28" s="38" t="s">
        <v>19</v>
      </c>
    </row>
    <row r="29" s="1" customFormat="1" spans="2:7">
      <c r="B29" s="10" t="s">
        <v>20</v>
      </c>
    </row>
    <row r="31" spans="2:7">
      <c r="B31" s="8" t="s">
        <v>21</v>
      </c>
    </row>
    <row r="33" spans="2:3">
      <c r="B33" s="2">
        <v>1</v>
      </c>
      <c r="C33" s="7" t="s">
        <v>22</v>
      </c>
    </row>
    <row r="35" spans="2:3">
      <c r="B35" s="2">
        <v>2</v>
      </c>
      <c r="C35" s="7" t="s">
        <v>23</v>
      </c>
    </row>
    <row r="37" spans="2:3">
      <c r="B37" s="2">
        <v>3</v>
      </c>
      <c r="C37" s="7" t="s">
        <v>24</v>
      </c>
    </row>
    <row r="40" spans="2:3">
      <c r="B40" s="8" t="s">
        <v>25</v>
      </c>
    </row>
    <row r="42" spans="2:3">
      <c r="B42" s="2">
        <v>1</v>
      </c>
      <c r="C42" s="7" t="s">
        <v>26</v>
      </c>
    </row>
    <row r="44" spans="2:3">
      <c r="B44" s="2">
        <v>2</v>
      </c>
      <c r="C44" s="7" t="s">
        <v>27</v>
      </c>
    </row>
    <row r="47" spans="2:3">
      <c r="B47" s="8" t="s">
        <v>28</v>
      </c>
    </row>
    <row r="49" spans="2:7">
      <c r="B49" s="2">
        <v>1</v>
      </c>
      <c r="C49" s="7" t="s">
        <v>29</v>
      </c>
    </row>
    <row r="50" spans="2:7">
      <c r="G50" s="26" t="s">
        <v>30</v>
      </c>
    </row>
    <row r="51" spans="2:7">
      <c r="B51" s="2">
        <v>2</v>
      </c>
      <c r="C51" s="7" t="s">
        <v>31</v>
      </c>
    </row>
    <row r="53" spans="2:7">
      <c r="B53" s="2">
        <v>3</v>
      </c>
      <c r="C53" s="7" t="s">
        <v>32</v>
      </c>
    </row>
    <row r="56" spans="2:7">
      <c r="B56" s="8" t="s">
        <v>33</v>
      </c>
      <c r="D56" s="36" t="s">
        <v>34</v>
      </c>
    </row>
    <row r="58" spans="2:7">
      <c r="B58" s="2">
        <v>1</v>
      </c>
      <c r="C58" s="7" t="s">
        <v>35</v>
      </c>
    </row>
    <row r="60" spans="2:7">
      <c r="B60" s="2">
        <v>2</v>
      </c>
      <c r="C60" s="7" t="s">
        <v>36</v>
      </c>
    </row>
    <row r="62" spans="2:7">
      <c r="B62" s="2">
        <v>3</v>
      </c>
      <c r="C62" s="7" t="s">
        <v>37</v>
      </c>
    </row>
    <row r="64" spans="2:7">
      <c r="B64" s="8" t="s">
        <v>38</v>
      </c>
      <c r="D64" s="36" t="s">
        <v>39</v>
      </c>
    </row>
    <row r="66" spans="2:4">
      <c r="B66" s="2">
        <v>1</v>
      </c>
      <c r="C66" s="7" t="s">
        <v>40</v>
      </c>
    </row>
    <row r="68" spans="2:4">
      <c r="B68" s="2">
        <v>2</v>
      </c>
      <c r="C68" s="7" t="s">
        <v>41</v>
      </c>
    </row>
    <row r="70" spans="2:4">
      <c r="B70" s="2">
        <v>3</v>
      </c>
      <c r="C70" s="7" t="s">
        <v>42</v>
      </c>
    </row>
    <row r="72" spans="2:4">
      <c r="B72" s="8" t="s">
        <v>43</v>
      </c>
      <c r="D72" s="36" t="s">
        <v>44</v>
      </c>
    </row>
    <row r="74" spans="2:4">
      <c r="B74" s="2">
        <v>1</v>
      </c>
      <c r="C74" s="7" t="s">
        <v>45</v>
      </c>
    </row>
    <row r="76" spans="2:4">
      <c r="B76" s="2">
        <v>2</v>
      </c>
      <c r="C76" s="7" t="s">
        <v>46</v>
      </c>
    </row>
    <row r="78" spans="2:4">
      <c r="B78" s="2">
        <v>3</v>
      </c>
      <c r="C78" s="7" t="s">
        <v>47</v>
      </c>
    </row>
    <row r="80" spans="2:4">
      <c r="B80" s="2">
        <v>4</v>
      </c>
      <c r="C80" s="7" t="s">
        <v>48</v>
      </c>
    </row>
    <row r="82" spans="2:4">
      <c r="B82" s="8" t="s">
        <v>49</v>
      </c>
      <c r="D82" s="36" t="s">
        <v>50</v>
      </c>
    </row>
    <row r="84" spans="2:4">
      <c r="B84" s="2">
        <v>1</v>
      </c>
      <c r="C84" s="7" t="s">
        <v>51</v>
      </c>
    </row>
    <row r="86" spans="2:4">
      <c r="B86" s="7">
        <v>2</v>
      </c>
      <c r="C86" s="7" t="s">
        <v>52</v>
      </c>
    </row>
    <row r="88" spans="2:4">
      <c r="B88" s="2">
        <v>3</v>
      </c>
      <c r="C88" s="7" t="s">
        <v>53</v>
      </c>
    </row>
  </sheetData>
  <sheetProtection formatCells="0" formatColumns="0" formatRows="0" insertRows="0" insertColumns="0" insertHyperlinks="0" deleteColumns="0" deleteRows="0" sort="0" autoFilter="0" pivotTables="0"/>
  <mergeCells count="1">
    <mergeCell ref="A1:B2"/>
  </mergeCells>
  <hyperlinks>
    <hyperlink ref="D56" location="奇遇事件!A1" display="奇遇"/>
    <hyperlink ref="D64" location="门挑战!A1" display="门挑战"/>
    <hyperlink ref="D72" location="BOSS设计!A1" display="BOSS设计"/>
    <hyperlink ref="D82" location="难度说明!A1" display="难度说明"/>
    <hyperlink ref="D6" location="'角色属性   '!A1" display="角色属性"/>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0"/>
  <sheetViews>
    <sheetView zoomScale="90" zoomScaleNormal="90" topLeftCell="B51" workbookViewId="0">
      <selection activeCell="D3" sqref="D3"/>
    </sheetView>
  </sheetViews>
  <sheetFormatPr defaultColWidth="11.3333333333333" defaultRowHeight="19.5"/>
  <cols>
    <col min="1" max="16384" width="11.3333333333333" style="2"/>
  </cols>
  <sheetData>
    <row r="1" spans="1:4">
      <c r="A1" s="14" t="s">
        <v>54</v>
      </c>
      <c r="B1" s="14"/>
    </row>
    <row r="2" spans="1:4">
      <c r="A2" s="14"/>
      <c r="B2" s="14"/>
    </row>
    <row r="3" spans="1:4">
      <c r="B3" s="7" t="s">
        <v>55</v>
      </c>
      <c r="C3" s="7" t="s">
        <v>56</v>
      </c>
      <c r="D3" s="7" t="s">
        <v>57</v>
      </c>
    </row>
    <row r="4" spans="1:4">
      <c r="B4" s="7"/>
      <c r="C4" s="7" t="s">
        <v>58</v>
      </c>
      <c r="D4" s="7" t="s">
        <v>59</v>
      </c>
    </row>
    <row r="5" spans="1:4">
      <c r="B5" s="7"/>
      <c r="C5" s="7"/>
      <c r="D5" s="7"/>
    </row>
    <row r="6" spans="1:4">
      <c r="B6" s="7" t="s">
        <v>60</v>
      </c>
      <c r="C6" s="7" t="s">
        <v>56</v>
      </c>
      <c r="D6" s="7" t="s">
        <v>61</v>
      </c>
    </row>
    <row r="7" spans="1:4">
      <c r="C7" s="7" t="s">
        <v>58</v>
      </c>
      <c r="D7" s="7" t="s">
        <v>62</v>
      </c>
    </row>
    <row r="8" spans="1:4">
      <c r="B8" s="7"/>
      <c r="C8" s="7"/>
    </row>
    <row r="9" spans="1:4">
      <c r="B9" s="7" t="s">
        <v>63</v>
      </c>
      <c r="C9" s="7" t="s">
        <v>56</v>
      </c>
      <c r="D9" s="7" t="s">
        <v>64</v>
      </c>
    </row>
    <row r="10" spans="1:4">
      <c r="B10" s="7"/>
      <c r="C10" s="7" t="s">
        <v>58</v>
      </c>
      <c r="D10" s="7" t="s">
        <v>65</v>
      </c>
    </row>
    <row r="11" spans="1:4">
      <c r="B11" s="7"/>
      <c r="C11" s="7"/>
    </row>
    <row r="12" spans="1:4">
      <c r="B12" s="7" t="s">
        <v>66</v>
      </c>
      <c r="C12" s="7" t="s">
        <v>56</v>
      </c>
      <c r="D12" s="7" t="s">
        <v>67</v>
      </c>
    </row>
    <row r="13" spans="1:4">
      <c r="C13" s="7" t="s">
        <v>58</v>
      </c>
      <c r="D13" s="7" t="s">
        <v>68</v>
      </c>
    </row>
    <row r="14" spans="1:4">
      <c r="B14" s="7"/>
      <c r="C14" s="7"/>
    </row>
    <row r="15" spans="1:4">
      <c r="B15" s="7" t="s">
        <v>69</v>
      </c>
      <c r="C15" s="7" t="s">
        <v>56</v>
      </c>
      <c r="D15" s="7" t="s">
        <v>70</v>
      </c>
    </row>
    <row r="16" spans="1:4">
      <c r="B16" s="7"/>
      <c r="C16" s="7" t="s">
        <v>58</v>
      </c>
      <c r="D16" s="7" t="s">
        <v>71</v>
      </c>
    </row>
    <row r="17" spans="2:4">
      <c r="B17" s="7"/>
      <c r="C17" s="7"/>
    </row>
    <row r="18" spans="2:4">
      <c r="B18" s="7" t="s">
        <v>72</v>
      </c>
      <c r="C18" s="7" t="s">
        <v>56</v>
      </c>
      <c r="D18" s="7" t="s">
        <v>73</v>
      </c>
    </row>
    <row r="19" spans="2:4">
      <c r="C19" s="7" t="s">
        <v>58</v>
      </c>
      <c r="D19" s="7" t="s">
        <v>74</v>
      </c>
    </row>
    <row r="20" spans="2:4">
      <c r="B20" s="7"/>
      <c r="C20" s="7"/>
    </row>
    <row r="21" spans="2:4">
      <c r="B21" s="7" t="s">
        <v>75</v>
      </c>
      <c r="C21" s="7" t="s">
        <v>56</v>
      </c>
      <c r="D21" s="7" t="s">
        <v>76</v>
      </c>
    </row>
    <row r="22" spans="2:4">
      <c r="B22" s="7"/>
      <c r="C22" s="7" t="s">
        <v>58</v>
      </c>
      <c r="D22" s="7" t="s">
        <v>77</v>
      </c>
    </row>
    <row r="23" spans="2:4">
      <c r="B23" s="7"/>
      <c r="C23" s="7"/>
    </row>
    <row r="24" spans="2:4">
      <c r="B24" s="7" t="s">
        <v>78</v>
      </c>
      <c r="C24" s="7" t="s">
        <v>56</v>
      </c>
      <c r="D24" s="7" t="s">
        <v>79</v>
      </c>
    </row>
    <row r="25" spans="2:4">
      <c r="C25" s="7" t="s">
        <v>58</v>
      </c>
      <c r="D25" s="7" t="s">
        <v>80</v>
      </c>
    </row>
    <row r="26" spans="2:4">
      <c r="B26" s="7"/>
      <c r="C26" s="7"/>
    </row>
    <row r="27" spans="2:4">
      <c r="B27" s="7" t="s">
        <v>81</v>
      </c>
      <c r="C27" s="7" t="s">
        <v>56</v>
      </c>
      <c r="D27" s="7" t="s">
        <v>82</v>
      </c>
    </row>
    <row r="28" spans="2:4">
      <c r="B28" s="7"/>
      <c r="C28" s="7" t="s">
        <v>58</v>
      </c>
      <c r="D28" s="7" t="s">
        <v>83</v>
      </c>
    </row>
    <row r="29" spans="2:4">
      <c r="B29" s="7"/>
      <c r="C29" s="7"/>
    </row>
    <row r="30" spans="2:4">
      <c r="B30" s="7" t="s">
        <v>84</v>
      </c>
      <c r="C30" s="7" t="s">
        <v>56</v>
      </c>
      <c r="D30" s="7" t="s">
        <v>85</v>
      </c>
    </row>
    <row r="31" spans="2:4">
      <c r="C31" s="7" t="s">
        <v>58</v>
      </c>
      <c r="D31" s="7" t="s">
        <v>86</v>
      </c>
    </row>
    <row r="32" spans="2:4">
      <c r="B32" s="7"/>
      <c r="C32" s="7"/>
    </row>
    <row r="33" spans="2:4">
      <c r="B33" s="7" t="s">
        <v>87</v>
      </c>
      <c r="C33" s="7" t="s">
        <v>56</v>
      </c>
      <c r="D33" s="7" t="s">
        <v>88</v>
      </c>
    </row>
    <row r="34" spans="2:4">
      <c r="B34" s="7"/>
      <c r="C34" s="7" t="s">
        <v>58</v>
      </c>
      <c r="D34" s="7" t="s">
        <v>86</v>
      </c>
    </row>
    <row r="35" spans="2:4">
      <c r="B35" s="7"/>
      <c r="C35" s="7"/>
    </row>
    <row r="36" spans="2:4">
      <c r="B36" s="7" t="s">
        <v>89</v>
      </c>
      <c r="C36" s="7" t="s">
        <v>56</v>
      </c>
      <c r="D36" s="7" t="s">
        <v>90</v>
      </c>
    </row>
    <row r="37" spans="2:4">
      <c r="C37" s="7" t="s">
        <v>58</v>
      </c>
      <c r="D37" s="7" t="s">
        <v>91</v>
      </c>
    </row>
    <row r="38" spans="2:4">
      <c r="B38" s="7"/>
      <c r="C38" s="7"/>
    </row>
    <row r="39" spans="2:4">
      <c r="B39" s="7" t="s">
        <v>92</v>
      </c>
      <c r="C39" s="7" t="s">
        <v>56</v>
      </c>
      <c r="D39" s="7" t="s">
        <v>93</v>
      </c>
    </row>
    <row r="40" spans="2:4">
      <c r="B40" s="7"/>
      <c r="C40" s="7" t="s">
        <v>58</v>
      </c>
      <c r="D40" s="7" t="s">
        <v>94</v>
      </c>
    </row>
    <row r="41" spans="2:4">
      <c r="B41" s="7"/>
      <c r="C41" s="7"/>
    </row>
    <row r="42" spans="2:4">
      <c r="B42" s="7" t="s">
        <v>95</v>
      </c>
      <c r="C42" s="7" t="s">
        <v>56</v>
      </c>
      <c r="D42" s="7" t="s">
        <v>96</v>
      </c>
    </row>
    <row r="43" spans="2:4">
      <c r="C43" s="7" t="s">
        <v>58</v>
      </c>
    </row>
    <row r="44" spans="2:4">
      <c r="B44" s="7"/>
      <c r="C44" s="7"/>
    </row>
    <row r="45" spans="2:4">
      <c r="B45" s="7" t="s">
        <v>97</v>
      </c>
      <c r="C45" s="7" t="s">
        <v>56</v>
      </c>
      <c r="D45" s="7" t="s">
        <v>98</v>
      </c>
    </row>
    <row r="46" spans="2:4">
      <c r="B46" s="7"/>
      <c r="C46" s="7" t="s">
        <v>58</v>
      </c>
    </row>
    <row r="47" spans="2:4">
      <c r="B47" s="7"/>
      <c r="C47" s="7"/>
    </row>
    <row r="48" spans="2:4">
      <c r="B48" s="7" t="s">
        <v>99</v>
      </c>
      <c r="C48" s="7" t="s">
        <v>56</v>
      </c>
      <c r="D48" s="7" t="s">
        <v>100</v>
      </c>
    </row>
    <row r="49" spans="2:4">
      <c r="C49" s="7" t="s">
        <v>58</v>
      </c>
      <c r="D49" s="7" t="s">
        <v>101</v>
      </c>
    </row>
    <row r="50" spans="2:4">
      <c r="B50" s="7"/>
      <c r="C50" s="7"/>
    </row>
    <row r="51" spans="2:4">
      <c r="B51" s="7" t="s">
        <v>102</v>
      </c>
      <c r="C51" s="7" t="s">
        <v>56</v>
      </c>
      <c r="D51" s="7" t="s">
        <v>103</v>
      </c>
    </row>
    <row r="52" spans="2:4">
      <c r="B52" s="7"/>
      <c r="C52" s="7" t="s">
        <v>58</v>
      </c>
      <c r="D52" s="7" t="s">
        <v>104</v>
      </c>
    </row>
    <row r="53" spans="2:4">
      <c r="B53" s="7"/>
      <c r="C53" s="7"/>
    </row>
    <row r="54" spans="2:4">
      <c r="B54" s="7" t="s">
        <v>105</v>
      </c>
      <c r="C54" s="7" t="s">
        <v>56</v>
      </c>
      <c r="D54" s="7" t="s">
        <v>106</v>
      </c>
    </row>
    <row r="55" spans="2:4">
      <c r="B55" s="7"/>
      <c r="C55" s="7" t="s">
        <v>58</v>
      </c>
      <c r="D55" s="7" t="s">
        <v>107</v>
      </c>
    </row>
    <row r="56" spans="2:4">
      <c r="B56" s="7"/>
      <c r="C56" s="7"/>
    </row>
    <row r="57" spans="2:4">
      <c r="B57" s="7" t="s">
        <v>108</v>
      </c>
      <c r="C57" s="7" t="s">
        <v>56</v>
      </c>
      <c r="D57" s="7" t="s">
        <v>109</v>
      </c>
    </row>
    <row r="58" spans="2:4">
      <c r="B58" s="7"/>
      <c r="C58" s="7" t="s">
        <v>58</v>
      </c>
      <c r="D58" s="7" t="s">
        <v>110</v>
      </c>
    </row>
    <row r="59" spans="2:4">
      <c r="B59" s="7"/>
      <c r="C59" s="7"/>
    </row>
    <row r="60" spans="2:4">
      <c r="B60" s="7" t="s">
        <v>111</v>
      </c>
      <c r="C60" s="7" t="s">
        <v>56</v>
      </c>
      <c r="D60" s="7" t="s">
        <v>112</v>
      </c>
    </row>
    <row r="61" spans="2:4">
      <c r="B61" s="7"/>
      <c r="C61" s="7" t="s">
        <v>58</v>
      </c>
      <c r="D61" s="7" t="s">
        <v>113</v>
      </c>
    </row>
    <row r="62" spans="2:4">
      <c r="B62" s="7"/>
      <c r="C62" s="7"/>
    </row>
    <row r="63" spans="2:4">
      <c r="B63" s="7" t="s">
        <v>114</v>
      </c>
      <c r="C63" s="7" t="s">
        <v>56</v>
      </c>
      <c r="D63" s="7" t="s">
        <v>115</v>
      </c>
    </row>
    <row r="64" spans="2:4">
      <c r="B64" s="7"/>
      <c r="C64" s="7" t="s">
        <v>58</v>
      </c>
      <c r="D64" s="7" t="s">
        <v>116</v>
      </c>
    </row>
    <row r="65" spans="2:4">
      <c r="B65" s="7"/>
      <c r="C65" s="7"/>
    </row>
    <row r="66" spans="2:4">
      <c r="B66" s="7" t="s">
        <v>117</v>
      </c>
      <c r="C66" s="7" t="s">
        <v>56</v>
      </c>
      <c r="D66" s="7" t="s">
        <v>118</v>
      </c>
    </row>
    <row r="67" spans="2:4">
      <c r="B67" s="7"/>
      <c r="C67" s="7" t="s">
        <v>58</v>
      </c>
      <c r="D67" s="7" t="s">
        <v>119</v>
      </c>
    </row>
    <row r="68" spans="2:4">
      <c r="B68" s="7"/>
      <c r="C68" s="7"/>
    </row>
    <row r="69" spans="2:4">
      <c r="B69" s="7" t="s">
        <v>120</v>
      </c>
      <c r="C69" s="7" t="s">
        <v>56</v>
      </c>
      <c r="D69" s="7" t="s">
        <v>121</v>
      </c>
    </row>
    <row r="70" spans="2:4">
      <c r="B70" s="7"/>
      <c r="C70" s="7" t="s">
        <v>58</v>
      </c>
    </row>
    <row r="71" spans="2:4">
      <c r="B71" s="7"/>
      <c r="C71" s="7"/>
    </row>
    <row r="72" spans="2:4">
      <c r="B72" s="7" t="s">
        <v>122</v>
      </c>
      <c r="C72" s="7" t="s">
        <v>56</v>
      </c>
      <c r="D72" s="7" t="s">
        <v>123</v>
      </c>
    </row>
    <row r="73" spans="2:4">
      <c r="B73" s="7"/>
      <c r="C73" s="7" t="s">
        <v>58</v>
      </c>
    </row>
    <row r="74" spans="2:4">
      <c r="B74" s="7"/>
      <c r="C74" s="7"/>
    </row>
    <row r="75" spans="2:4">
      <c r="B75" s="7" t="s">
        <v>124</v>
      </c>
      <c r="C75" s="7" t="s">
        <v>56</v>
      </c>
      <c r="D75" s="7" t="s">
        <v>125</v>
      </c>
    </row>
    <row r="76" spans="2:4">
      <c r="B76" s="7"/>
      <c r="C76" s="7" t="s">
        <v>58</v>
      </c>
    </row>
    <row r="77" spans="2:4">
      <c r="B77" s="7"/>
      <c r="C77" s="7"/>
    </row>
    <row r="78" spans="2:4">
      <c r="B78" s="7" t="s">
        <v>126</v>
      </c>
      <c r="C78" s="7" t="s">
        <v>56</v>
      </c>
      <c r="D78" s="7" t="s">
        <v>127</v>
      </c>
    </row>
    <row r="79" spans="2:4">
      <c r="B79" s="7"/>
      <c r="C79" s="7" t="s">
        <v>58</v>
      </c>
    </row>
    <row r="80" spans="2:4">
      <c r="B80" s="7"/>
      <c r="C80" s="7"/>
    </row>
    <row r="81" spans="2:4">
      <c r="B81" s="7" t="s">
        <v>128</v>
      </c>
      <c r="C81" s="7" t="s">
        <v>56</v>
      </c>
      <c r="D81" s="7" t="s">
        <v>129</v>
      </c>
    </row>
    <row r="82" spans="2:4">
      <c r="B82" s="7"/>
      <c r="C82" s="7" t="s">
        <v>58</v>
      </c>
    </row>
    <row r="83" spans="2:4">
      <c r="B83" s="7"/>
      <c r="C83" s="7"/>
    </row>
    <row r="84" spans="2:4">
      <c r="B84" s="7" t="s">
        <v>130</v>
      </c>
      <c r="C84" s="7" t="s">
        <v>56</v>
      </c>
      <c r="D84" s="7" t="s">
        <v>131</v>
      </c>
    </row>
    <row r="85" spans="2:4">
      <c r="B85" s="7"/>
      <c r="C85" s="7" t="s">
        <v>58</v>
      </c>
    </row>
    <row r="86" spans="2:4">
      <c r="B86" s="7"/>
      <c r="C86" s="7"/>
    </row>
    <row r="87" spans="2:4">
      <c r="B87" s="7" t="s">
        <v>132</v>
      </c>
      <c r="C87" s="7" t="s">
        <v>56</v>
      </c>
      <c r="D87" s="7" t="s">
        <v>133</v>
      </c>
    </row>
    <row r="88" spans="2:4">
      <c r="B88" s="7"/>
      <c r="C88" s="7" t="s">
        <v>58</v>
      </c>
    </row>
    <row r="89" spans="2:4">
      <c r="B89" s="7"/>
      <c r="C89" s="7"/>
    </row>
    <row r="90" spans="2:4">
      <c r="B90" s="7" t="s">
        <v>134</v>
      </c>
      <c r="C90" s="7" t="s">
        <v>56</v>
      </c>
      <c r="D90" s="7" t="s">
        <v>135</v>
      </c>
    </row>
    <row r="91" spans="2:4">
      <c r="B91" s="7"/>
      <c r="C91" s="7" t="s">
        <v>58</v>
      </c>
    </row>
    <row r="93" spans="2:4">
      <c r="B93" s="7" t="s">
        <v>136</v>
      </c>
      <c r="C93" s="7" t="s">
        <v>56</v>
      </c>
      <c r="D93" s="7" t="s">
        <v>137</v>
      </c>
    </row>
    <row r="94" spans="2:4">
      <c r="B94" s="7"/>
      <c r="C94" s="7" t="s">
        <v>58</v>
      </c>
      <c r="D94" s="7" t="s">
        <v>138</v>
      </c>
    </row>
    <row r="96" spans="2:4">
      <c r="B96" s="7" t="s">
        <v>139</v>
      </c>
      <c r="C96" s="7" t="s">
        <v>56</v>
      </c>
      <c r="D96" s="7" t="s">
        <v>140</v>
      </c>
    </row>
    <row r="97" spans="2:4">
      <c r="B97" s="7"/>
      <c r="C97" s="7" t="s">
        <v>58</v>
      </c>
      <c r="D97" s="7" t="s">
        <v>141</v>
      </c>
    </row>
    <row r="99" spans="2:4">
      <c r="B99" s="7" t="s">
        <v>142</v>
      </c>
      <c r="C99" s="7" t="s">
        <v>56</v>
      </c>
      <c r="D99" s="7" t="s">
        <v>143</v>
      </c>
    </row>
    <row r="100" spans="2:4">
      <c r="B100" s="7"/>
      <c r="C100" s="7" t="s">
        <v>58</v>
      </c>
      <c r="D100" s="7" t="s">
        <v>144</v>
      </c>
    </row>
    <row r="102" spans="2:4">
      <c r="B102" s="7" t="s">
        <v>145</v>
      </c>
      <c r="C102" s="7" t="s">
        <v>56</v>
      </c>
      <c r="D102" s="7" t="s">
        <v>146</v>
      </c>
    </row>
    <row r="103" spans="2:4">
      <c r="B103" s="7"/>
      <c r="C103" s="7" t="s">
        <v>58</v>
      </c>
    </row>
    <row r="105" spans="2:4">
      <c r="B105" s="7" t="s">
        <v>147</v>
      </c>
      <c r="C105" s="7" t="s">
        <v>56</v>
      </c>
      <c r="D105" s="7" t="s">
        <v>148</v>
      </c>
    </row>
    <row r="106" spans="2:4">
      <c r="B106" s="7"/>
      <c r="C106" s="7" t="s">
        <v>58</v>
      </c>
      <c r="D106" s="7" t="s">
        <v>149</v>
      </c>
    </row>
    <row r="108" spans="2:4">
      <c r="B108" s="7" t="s">
        <v>150</v>
      </c>
      <c r="C108" s="7" t="s">
        <v>56</v>
      </c>
      <c r="D108" s="7" t="s">
        <v>151</v>
      </c>
    </row>
    <row r="109" spans="2:4">
      <c r="B109" s="7"/>
      <c r="C109" s="7" t="s">
        <v>58</v>
      </c>
      <c r="D109" s="7" t="s">
        <v>152</v>
      </c>
    </row>
    <row r="111" spans="2:4">
      <c r="B111" s="7" t="s">
        <v>153</v>
      </c>
      <c r="C111" s="7" t="s">
        <v>56</v>
      </c>
      <c r="D111" s="7" t="s">
        <v>154</v>
      </c>
    </row>
    <row r="112" spans="2:4">
      <c r="B112" s="7"/>
      <c r="C112" s="7" t="s">
        <v>58</v>
      </c>
      <c r="D112" s="7" t="s">
        <v>155</v>
      </c>
    </row>
    <row r="114" spans="2:12">
      <c r="B114" s="7" t="s">
        <v>156</v>
      </c>
      <c r="C114" s="7" t="s">
        <v>56</v>
      </c>
      <c r="D114" s="7" t="s">
        <v>157</v>
      </c>
    </row>
    <row r="115" spans="2:12">
      <c r="B115" s="7"/>
      <c r="C115" s="7" t="s">
        <v>58</v>
      </c>
      <c r="D115" s="7" t="s">
        <v>158</v>
      </c>
    </row>
    <row r="117" spans="2:12">
      <c r="B117" s="7" t="s">
        <v>159</v>
      </c>
      <c r="C117" s="7" t="s">
        <v>56</v>
      </c>
      <c r="D117" s="7" t="s">
        <v>160</v>
      </c>
    </row>
    <row r="118" spans="2:12">
      <c r="B118" s="7"/>
      <c r="C118" s="7" t="s">
        <v>58</v>
      </c>
    </row>
    <row r="120" ht="300" spans="2:12">
      <c r="B120" s="7" t="s">
        <v>161</v>
      </c>
      <c r="C120" s="7" t="s">
        <v>56</v>
      </c>
      <c r="D120" s="37" t="s">
        <v>162</v>
      </c>
      <c r="E120" s="37" t="s">
        <v>163</v>
      </c>
      <c r="F120" s="37" t="s">
        <v>164</v>
      </c>
      <c r="G120" s="37" t="s">
        <v>165</v>
      </c>
      <c r="H120" s="37" t="s">
        <v>166</v>
      </c>
      <c r="I120" s="37" t="s">
        <v>167</v>
      </c>
      <c r="J120" s="37" t="s">
        <v>168</v>
      </c>
      <c r="K120" s="37" t="s">
        <v>169</v>
      </c>
      <c r="L120" s="37" t="s">
        <v>170</v>
      </c>
    </row>
    <row r="121" spans="2:12">
      <c r="B121" s="7"/>
      <c r="C121" s="7" t="s">
        <v>58</v>
      </c>
    </row>
    <row r="123" spans="2:12">
      <c r="B123" s="7" t="s">
        <v>171</v>
      </c>
      <c r="C123" s="7" t="s">
        <v>56</v>
      </c>
      <c r="D123" s="7" t="s">
        <v>172</v>
      </c>
    </row>
    <row r="124" spans="2:12">
      <c r="B124" s="7" t="s">
        <v>173</v>
      </c>
      <c r="C124" s="7" t="s">
        <v>56</v>
      </c>
      <c r="D124" s="7" t="s">
        <v>174</v>
      </c>
    </row>
    <row r="125" spans="2:12">
      <c r="B125" s="7" t="s">
        <v>175</v>
      </c>
      <c r="C125" s="7" t="s">
        <v>56</v>
      </c>
      <c r="D125" s="7" t="s">
        <v>176</v>
      </c>
    </row>
    <row r="126" spans="2:12">
      <c r="D126" s="7" t="s">
        <v>177</v>
      </c>
      <c r="E126" s="7" t="s">
        <v>178</v>
      </c>
    </row>
    <row r="127" spans="2:12">
      <c r="D127" s="7" t="s">
        <v>179</v>
      </c>
    </row>
    <row r="128" spans="2:12">
      <c r="D128" s="7" t="s">
        <v>180</v>
      </c>
    </row>
    <row r="130" spans="2:4">
      <c r="B130" s="7" t="s">
        <v>175</v>
      </c>
      <c r="C130" s="7" t="s">
        <v>56</v>
      </c>
      <c r="D130" s="7" t="s">
        <v>181</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9"/>
  <sheetViews>
    <sheetView topLeftCell="C11" workbookViewId="0">
      <selection activeCell="J20" sqref="J20:N27"/>
    </sheetView>
  </sheetViews>
  <sheetFormatPr defaultColWidth="11.3333333333333" defaultRowHeight="19.5"/>
  <cols>
    <col min="1" max="16384" width="11.3333333333333" style="2"/>
  </cols>
  <sheetData>
    <row r="1" spans="1:6">
      <c r="A1" s="33" t="s">
        <v>182</v>
      </c>
      <c r="B1" s="33"/>
    </row>
    <row r="2" spans="1:6">
      <c r="A2" s="33"/>
      <c r="B2" s="33"/>
    </row>
    <row r="4" s="1" customFormat="1" spans="1:6">
      <c r="B4" s="10" t="s">
        <v>183</v>
      </c>
    </row>
    <row r="6" spans="1:6">
      <c r="B6" s="8" t="s">
        <v>184</v>
      </c>
    </row>
    <row r="8" spans="1:6">
      <c r="B8" s="2">
        <v>1</v>
      </c>
      <c r="C8" s="7" t="s">
        <v>185</v>
      </c>
    </row>
    <row r="10" spans="1:6">
      <c r="B10" s="2">
        <v>2</v>
      </c>
      <c r="C10" s="7" t="s">
        <v>186</v>
      </c>
    </row>
    <row r="11" spans="1:6">
      <c r="C11" s="25" t="str">
        <f>_xlfn.DISPIMG("ID_C72A97EABF704EC0B58DD91D8E4A3245",1)</f>
        <v>=DISPIMG("ID_C72A97EABF704EC0B58DD91D8E4A3245",1)</v>
      </c>
      <c r="D11" s="25"/>
      <c r="E11" s="25"/>
      <c r="F11" s="25"/>
    </row>
    <row r="12" spans="1:6">
      <c r="C12" s="25"/>
      <c r="D12" s="25"/>
      <c r="E12" s="25"/>
      <c r="F12" s="25"/>
    </row>
    <row r="13" spans="1:6">
      <c r="C13" s="25"/>
      <c r="D13" s="25"/>
      <c r="E13" s="25"/>
      <c r="F13" s="25"/>
    </row>
    <row r="14" spans="1:6">
      <c r="C14" s="25"/>
      <c r="D14" s="25"/>
      <c r="E14" s="25"/>
      <c r="F14" s="25"/>
    </row>
    <row r="15" spans="1:6">
      <c r="C15" s="25"/>
      <c r="D15" s="25"/>
      <c r="E15" s="25"/>
      <c r="F15" s="25"/>
    </row>
    <row r="16" spans="1:6">
      <c r="C16" s="25"/>
      <c r="D16" s="25"/>
      <c r="E16" s="25"/>
      <c r="F16" s="25"/>
    </row>
    <row r="19" spans="2:14">
      <c r="B19" s="8" t="s">
        <v>187</v>
      </c>
    </row>
    <row r="20" spans="2:14">
      <c r="J20" s="25" t="str">
        <f>_xlfn.DISPIMG("ID_FA5D168F5F7D47D1AE2667EE4B7BF4B4",1)</f>
        <v>=DISPIMG("ID_FA5D168F5F7D47D1AE2667EE4B7BF4B4",1)</v>
      </c>
      <c r="K20" s="25"/>
      <c r="L20" s="25"/>
      <c r="M20" s="25"/>
      <c r="N20" s="25"/>
    </row>
    <row r="21" spans="2:14">
      <c r="B21" s="2">
        <v>1</v>
      </c>
      <c r="C21" s="7" t="s">
        <v>188</v>
      </c>
      <c r="J21" s="25"/>
      <c r="K21" s="25"/>
      <c r="L21" s="25"/>
      <c r="M21" s="25"/>
      <c r="N21" s="25"/>
    </row>
    <row r="22" spans="2:14">
      <c r="C22" s="7"/>
      <c r="J22" s="25"/>
      <c r="K22" s="25"/>
      <c r="L22" s="25"/>
      <c r="M22" s="25"/>
      <c r="N22" s="25"/>
    </row>
    <row r="23" spans="2:14">
      <c r="B23" s="2">
        <v>2</v>
      </c>
      <c r="C23" s="7" t="s">
        <v>189</v>
      </c>
      <c r="J23" s="25"/>
      <c r="K23" s="25"/>
      <c r="L23" s="25"/>
      <c r="M23" s="25"/>
      <c r="N23" s="25"/>
    </row>
    <row r="24" spans="2:14">
      <c r="J24" s="25"/>
      <c r="K24" s="25"/>
      <c r="L24" s="25"/>
      <c r="M24" s="25"/>
      <c r="N24" s="25"/>
    </row>
    <row r="25" spans="2:14">
      <c r="B25" s="2">
        <v>3</v>
      </c>
      <c r="C25" s="7" t="s">
        <v>190</v>
      </c>
      <c r="J25" s="25"/>
      <c r="K25" s="25"/>
      <c r="L25" s="25"/>
      <c r="M25" s="25"/>
      <c r="N25" s="25"/>
    </row>
    <row r="26" spans="2:14">
      <c r="J26" s="25"/>
      <c r="K26" s="25"/>
      <c r="L26" s="25"/>
      <c r="M26" s="25"/>
      <c r="N26" s="25"/>
    </row>
    <row r="27" spans="2:14">
      <c r="F27" s="7" t="s">
        <v>191</v>
      </c>
      <c r="J27" s="25"/>
      <c r="K27" s="25"/>
      <c r="L27" s="25"/>
      <c r="M27" s="25"/>
      <c r="N27" s="25"/>
    </row>
    <row r="30" spans="2:14">
      <c r="B30" s="8" t="s">
        <v>192</v>
      </c>
    </row>
    <row r="32" spans="2:14">
      <c r="B32" s="2">
        <v>1</v>
      </c>
      <c r="C32" s="7" t="s">
        <v>193</v>
      </c>
    </row>
    <row r="34" spans="1:10">
      <c r="B34" s="2">
        <v>2</v>
      </c>
      <c r="C34" s="7" t="s">
        <v>194</v>
      </c>
    </row>
    <row r="36" spans="1:10">
      <c r="B36" s="2">
        <v>3</v>
      </c>
      <c r="C36" s="7" t="s">
        <v>195</v>
      </c>
    </row>
    <row r="39" spans="1:10">
      <c r="B39" s="8" t="s">
        <v>196</v>
      </c>
    </row>
    <row r="41" spans="1:10">
      <c r="B41" s="2">
        <v>1</v>
      </c>
      <c r="C41" s="7" t="s">
        <v>197</v>
      </c>
    </row>
    <row r="43" spans="1:10">
      <c r="A43" s="36" t="s">
        <v>198</v>
      </c>
      <c r="B43" s="2">
        <v>2</v>
      </c>
      <c r="C43" s="7" t="s">
        <v>199</v>
      </c>
      <c r="D43" s="7" t="s">
        <v>200</v>
      </c>
    </row>
    <row r="45" spans="1:10">
      <c r="G45" s="7" t="s">
        <v>201</v>
      </c>
    </row>
    <row r="46" spans="1:10">
      <c r="J46" s="7" t="s">
        <v>202</v>
      </c>
    </row>
    <row r="47" spans="1:10">
      <c r="A47" s="36" t="s">
        <v>203</v>
      </c>
      <c r="B47" s="2">
        <v>3</v>
      </c>
      <c r="C47" s="7" t="s">
        <v>204</v>
      </c>
      <c r="D47" s="2" t="s">
        <v>205</v>
      </c>
    </row>
    <row r="49" spans="1:7">
      <c r="G49" s="7" t="s">
        <v>206</v>
      </c>
    </row>
    <row r="51" spans="1:7">
      <c r="A51" s="36" t="s">
        <v>207</v>
      </c>
      <c r="B51" s="2">
        <v>4</v>
      </c>
      <c r="C51" s="7" t="s">
        <v>208</v>
      </c>
      <c r="D51" s="7" t="s">
        <v>209</v>
      </c>
    </row>
    <row r="55" spans="1:7">
      <c r="A55" s="36" t="s">
        <v>210</v>
      </c>
      <c r="B55" s="2">
        <v>5</v>
      </c>
      <c r="C55" s="7" t="s">
        <v>211</v>
      </c>
      <c r="D55" s="7" t="s">
        <v>212</v>
      </c>
    </row>
    <row r="57" spans="1:7">
      <c r="G57" s="7" t="s">
        <v>213</v>
      </c>
    </row>
    <row r="59" spans="1:7">
      <c r="B59" s="2">
        <v>6</v>
      </c>
      <c r="C59" s="7" t="s">
        <v>214</v>
      </c>
      <c r="D59" s="7" t="s">
        <v>215</v>
      </c>
    </row>
  </sheetData>
  <sheetProtection formatCells="0" insertHyperlinks="0" autoFilter="0"/>
  <mergeCells count="3">
    <mergeCell ref="A1:B2"/>
    <mergeCell ref="C11:F16"/>
    <mergeCell ref="J20:N27"/>
  </mergeCells>
  <hyperlinks>
    <hyperlink ref="A43" location="通关装备!A1" display="通关装备"/>
    <hyperlink ref="A47" location="成就装备!A1" display="成就装备"/>
    <hyperlink ref="A51" location="好感度装备!A1" display="好感度装备"/>
    <hyperlink ref="A55" location="抽卡装备!A1" display="抽卡装备"/>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A1" sqref="A1:B2"/>
    </sheetView>
  </sheetViews>
  <sheetFormatPr defaultColWidth="11.3333333333333" defaultRowHeight="19.5"/>
  <cols>
    <col min="1" max="16384" width="11.3333333333333" style="2"/>
  </cols>
  <sheetData>
    <row r="1" spans="1:14">
      <c r="A1" s="33" t="s">
        <v>216</v>
      </c>
      <c r="B1" s="25"/>
    </row>
    <row r="2" spans="1:14">
      <c r="A2" s="25"/>
      <c r="B2" s="25"/>
    </row>
    <row r="3" spans="1:14">
      <c r="N3" s="26" t="s">
        <v>217</v>
      </c>
    </row>
    <row r="4" s="1" customFormat="1" spans="1:14">
      <c r="B4" s="10" t="s">
        <v>218</v>
      </c>
      <c r="H4" s="34" t="s">
        <v>219</v>
      </c>
      <c r="L4" s="10" t="s">
        <v>220</v>
      </c>
    </row>
    <row r="6" spans="1:14">
      <c r="B6" s="2">
        <v>1</v>
      </c>
      <c r="C6" s="7" t="s">
        <v>221</v>
      </c>
      <c r="D6" s="7" t="s">
        <v>222</v>
      </c>
      <c r="H6" s="2">
        <v>1</v>
      </c>
      <c r="L6" s="2">
        <v>1</v>
      </c>
      <c r="M6" s="7" t="s">
        <v>221</v>
      </c>
      <c r="N6" s="13" t="s">
        <v>223</v>
      </c>
    </row>
    <row r="7" spans="1:14">
      <c r="C7" s="7" t="s">
        <v>224</v>
      </c>
      <c r="D7" s="7" t="s">
        <v>225</v>
      </c>
      <c r="M7" s="7" t="s">
        <v>224</v>
      </c>
      <c r="N7" s="13" t="s">
        <v>226</v>
      </c>
    </row>
    <row r="8" spans="1:14">
      <c r="C8" s="7" t="s">
        <v>227</v>
      </c>
      <c r="D8" s="7" t="s">
        <v>228</v>
      </c>
      <c r="M8" s="7" t="s">
        <v>227</v>
      </c>
      <c r="N8" s="7" t="s">
        <v>229</v>
      </c>
    </row>
    <row r="9" spans="1:14">
      <c r="N9" s="26" t="s">
        <v>230</v>
      </c>
    </row>
    <row r="10" spans="1:14">
      <c r="B10" s="2">
        <v>2</v>
      </c>
      <c r="C10" s="7" t="s">
        <v>221</v>
      </c>
      <c r="D10" s="7" t="s">
        <v>231</v>
      </c>
      <c r="H10" s="2">
        <v>1</v>
      </c>
    </row>
    <row r="11" spans="1:14">
      <c r="C11" s="7" t="s">
        <v>224</v>
      </c>
      <c r="D11" s="7" t="s">
        <v>232</v>
      </c>
    </row>
    <row r="12" spans="1:14">
      <c r="C12" s="7" t="s">
        <v>227</v>
      </c>
      <c r="D12" s="7" t="s">
        <v>233</v>
      </c>
      <c r="L12" s="2">
        <v>2</v>
      </c>
      <c r="M12" s="7" t="s">
        <v>221</v>
      </c>
      <c r="N12" s="7" t="s">
        <v>234</v>
      </c>
    </row>
    <row r="13" spans="1:14">
      <c r="M13" s="7" t="s">
        <v>224</v>
      </c>
      <c r="N13" s="7" t="s">
        <v>235</v>
      </c>
    </row>
    <row r="14" spans="1:14">
      <c r="B14" s="2">
        <v>3</v>
      </c>
      <c r="C14" s="7" t="s">
        <v>221</v>
      </c>
      <c r="D14" s="7" t="s">
        <v>236</v>
      </c>
      <c r="H14" s="7" t="s">
        <v>86</v>
      </c>
      <c r="M14" s="7" t="s">
        <v>227</v>
      </c>
      <c r="N14" s="35" t="s">
        <v>237</v>
      </c>
    </row>
    <row r="15" spans="1:14">
      <c r="C15" s="7" t="s">
        <v>224</v>
      </c>
      <c r="D15" s="7" t="s">
        <v>238</v>
      </c>
    </row>
    <row r="16" spans="1:14">
      <c r="C16" s="7" t="s">
        <v>227</v>
      </c>
      <c r="D16" s="7" t="s">
        <v>239</v>
      </c>
      <c r="M16" s="7"/>
    </row>
    <row r="17" spans="2:14">
      <c r="M17" s="7"/>
    </row>
    <row r="18" spans="2:14">
      <c r="B18" s="2">
        <v>4</v>
      </c>
      <c r="C18" s="7" t="s">
        <v>221</v>
      </c>
      <c r="D18" s="7" t="s">
        <v>240</v>
      </c>
      <c r="H18" s="2">
        <v>1</v>
      </c>
      <c r="L18" s="2">
        <v>3</v>
      </c>
      <c r="M18" s="7" t="s">
        <v>221</v>
      </c>
      <c r="N18" s="7" t="s">
        <v>241</v>
      </c>
    </row>
    <row r="19" spans="2:14">
      <c r="C19" s="7" t="s">
        <v>224</v>
      </c>
      <c r="D19" s="7" t="s">
        <v>242</v>
      </c>
      <c r="M19" s="7" t="s">
        <v>224</v>
      </c>
      <c r="N19" s="7" t="s">
        <v>243</v>
      </c>
    </row>
    <row r="20" spans="2:14">
      <c r="C20" s="7" t="s">
        <v>227</v>
      </c>
      <c r="D20" s="7" t="s">
        <v>244</v>
      </c>
      <c r="M20" s="7" t="s">
        <v>227</v>
      </c>
      <c r="N20" s="7" t="s">
        <v>245</v>
      </c>
    </row>
    <row r="22" spans="2:14">
      <c r="B22" s="2">
        <v>5</v>
      </c>
      <c r="C22" s="7" t="s">
        <v>221</v>
      </c>
      <c r="D22" s="7" t="s">
        <v>246</v>
      </c>
      <c r="H22" s="7" t="s">
        <v>86</v>
      </c>
    </row>
    <row r="23" spans="2:14">
      <c r="C23" s="7" t="s">
        <v>224</v>
      </c>
      <c r="D23" s="7" t="s">
        <v>247</v>
      </c>
    </row>
    <row r="24" spans="2:14">
      <c r="C24" s="7" t="s">
        <v>227</v>
      </c>
      <c r="D24" s="7" t="s">
        <v>248</v>
      </c>
      <c r="L24" s="2">
        <v>4</v>
      </c>
      <c r="M24" s="7" t="s">
        <v>221</v>
      </c>
      <c r="N24" s="7" t="s">
        <v>249</v>
      </c>
    </row>
    <row r="25" spans="2:14">
      <c r="M25" s="7" t="s">
        <v>224</v>
      </c>
      <c r="N25" s="7" t="s">
        <v>250</v>
      </c>
    </row>
    <row r="26" spans="2:14">
      <c r="B26" s="2">
        <v>6</v>
      </c>
      <c r="C26" s="7" t="s">
        <v>221</v>
      </c>
      <c r="D26" s="7" t="s">
        <v>251</v>
      </c>
      <c r="H26" s="2">
        <v>1</v>
      </c>
      <c r="M26" s="7" t="s">
        <v>227</v>
      </c>
      <c r="N26" s="7" t="s">
        <v>252</v>
      </c>
    </row>
    <row r="27" spans="2:14">
      <c r="C27" s="7" t="s">
        <v>224</v>
      </c>
      <c r="D27" s="7" t="s">
        <v>253</v>
      </c>
    </row>
    <row r="28" spans="2:14">
      <c r="C28" s="7" t="s">
        <v>227</v>
      </c>
      <c r="D28" s="7" t="s">
        <v>254</v>
      </c>
    </row>
    <row r="30" spans="2:14">
      <c r="B30" s="2">
        <v>7</v>
      </c>
      <c r="C30" s="7" t="s">
        <v>221</v>
      </c>
      <c r="D30" s="7" t="s">
        <v>255</v>
      </c>
      <c r="H30" s="2">
        <v>1</v>
      </c>
      <c r="L30" s="2">
        <v>5</v>
      </c>
      <c r="M30" s="7" t="s">
        <v>221</v>
      </c>
      <c r="N30" s="13" t="s">
        <v>256</v>
      </c>
    </row>
    <row r="31" spans="2:14">
      <c r="C31" s="7" t="s">
        <v>224</v>
      </c>
      <c r="D31" s="7" t="s">
        <v>257</v>
      </c>
      <c r="M31" s="7" t="s">
        <v>224</v>
      </c>
      <c r="N31" s="13" t="s">
        <v>258</v>
      </c>
    </row>
    <row r="32" spans="2:14">
      <c r="C32" s="7" t="s">
        <v>227</v>
      </c>
      <c r="D32" s="7" t="s">
        <v>259</v>
      </c>
      <c r="M32" s="7" t="s">
        <v>227</v>
      </c>
      <c r="N32" s="7" t="s">
        <v>260</v>
      </c>
    </row>
    <row r="34" spans="2:8">
      <c r="B34" s="2">
        <v>8</v>
      </c>
      <c r="C34" s="7" t="s">
        <v>221</v>
      </c>
      <c r="D34" s="7" t="s">
        <v>261</v>
      </c>
      <c r="H34" s="2">
        <v>1</v>
      </c>
    </row>
    <row r="35" spans="2:8">
      <c r="C35" s="7" t="s">
        <v>224</v>
      </c>
      <c r="D35" s="7" t="s">
        <v>262</v>
      </c>
    </row>
    <row r="36" spans="2:8">
      <c r="C36" s="7" t="s">
        <v>227</v>
      </c>
      <c r="D36" s="7" t="s">
        <v>263</v>
      </c>
    </row>
    <row r="38" spans="2:8">
      <c r="B38" s="2">
        <v>9</v>
      </c>
      <c r="C38" s="7" t="s">
        <v>221</v>
      </c>
      <c r="D38" s="7" t="s">
        <v>264</v>
      </c>
      <c r="H38" s="2">
        <v>1</v>
      </c>
    </row>
    <row r="39" spans="2:8">
      <c r="C39" s="7" t="s">
        <v>224</v>
      </c>
      <c r="D39" s="7" t="s">
        <v>265</v>
      </c>
    </row>
    <row r="40" spans="2:8">
      <c r="C40" s="7" t="s">
        <v>227</v>
      </c>
      <c r="D40" s="7" t="s">
        <v>266</v>
      </c>
    </row>
    <row r="42" spans="2:8">
      <c r="B42" s="2">
        <v>10</v>
      </c>
      <c r="C42" s="7" t="s">
        <v>221</v>
      </c>
      <c r="D42" s="7" t="s">
        <v>267</v>
      </c>
    </row>
    <row r="43" spans="2:8">
      <c r="C43" s="7" t="s">
        <v>224</v>
      </c>
      <c r="D43" s="7" t="s">
        <v>268</v>
      </c>
    </row>
    <row r="44" spans="2:8">
      <c r="C44" s="7" t="s">
        <v>227</v>
      </c>
      <c r="D44" s="7" t="s">
        <v>269</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topLeftCell="B18" workbookViewId="0">
      <selection activeCell="B18" sqref="B18:H24"/>
    </sheetView>
  </sheetViews>
  <sheetFormatPr defaultColWidth="11.3333333333333" defaultRowHeight="19.5"/>
  <cols>
    <col min="1" max="16384" width="11.3333333333333" style="2"/>
  </cols>
  <sheetData>
    <row r="1" ht="21" spans="1:17">
      <c r="A1" s="3" t="s">
        <v>3</v>
      </c>
      <c r="B1" s="4"/>
      <c r="C1" s="4"/>
    </row>
    <row r="2" ht="21" spans="1:17">
      <c r="A2" s="4"/>
      <c r="B2" s="4"/>
      <c r="C2" s="4"/>
    </row>
    <row r="5" s="5" customFormat="1" spans="1:17">
      <c r="B5" s="5" t="s">
        <v>270</v>
      </c>
      <c r="E5" s="5" t="s">
        <v>271</v>
      </c>
      <c r="I5" s="5" t="s">
        <v>272</v>
      </c>
      <c r="K5" s="5" t="s">
        <v>273</v>
      </c>
      <c r="Q5" s="10" t="s">
        <v>274</v>
      </c>
    </row>
    <row r="6" spans="1:17">
      <c r="B6" s="2" t="s">
        <v>275</v>
      </c>
      <c r="E6" s="2" t="s">
        <v>276</v>
      </c>
      <c r="I6" s="2" t="s">
        <v>277</v>
      </c>
      <c r="K6" s="2" t="s">
        <v>278</v>
      </c>
    </row>
    <row r="7" spans="1:17">
      <c r="B7" s="2" t="s">
        <v>279</v>
      </c>
      <c r="E7" s="2" t="s">
        <v>280</v>
      </c>
      <c r="I7" s="2" t="s">
        <v>281</v>
      </c>
      <c r="K7" s="2" t="s">
        <v>282</v>
      </c>
      <c r="N7" s="7" t="s">
        <v>283</v>
      </c>
    </row>
    <row r="8" spans="1:17">
      <c r="B8" s="2" t="s">
        <v>284</v>
      </c>
      <c r="E8" s="2" t="s">
        <v>285</v>
      </c>
      <c r="I8" s="2" t="s">
        <v>286</v>
      </c>
      <c r="K8" s="2" t="s">
        <v>287</v>
      </c>
    </row>
    <row r="9" spans="1:17">
      <c r="B9" s="2" t="s">
        <v>288</v>
      </c>
      <c r="E9" s="2" t="s">
        <v>289</v>
      </c>
      <c r="I9" s="2" t="s">
        <v>290</v>
      </c>
      <c r="K9" s="2" t="s">
        <v>291</v>
      </c>
    </row>
    <row r="10" spans="1:17">
      <c r="B10" s="2" t="s">
        <v>292</v>
      </c>
      <c r="E10" s="2" t="s">
        <v>293</v>
      </c>
      <c r="I10" s="2" t="s">
        <v>294</v>
      </c>
      <c r="K10" s="2" t="s">
        <v>282</v>
      </c>
    </row>
    <row r="11" spans="1:17">
      <c r="B11" s="2" t="s">
        <v>295</v>
      </c>
      <c r="E11" s="2" t="s">
        <v>296</v>
      </c>
      <c r="I11" s="2" t="s">
        <v>297</v>
      </c>
      <c r="K11" s="2" t="s">
        <v>282</v>
      </c>
    </row>
    <row r="12" spans="1:17">
      <c r="B12" s="2" t="s">
        <v>298</v>
      </c>
      <c r="E12" s="2" t="s">
        <v>299</v>
      </c>
      <c r="I12" s="2" t="s">
        <v>300</v>
      </c>
      <c r="K12" s="2" t="s">
        <v>301</v>
      </c>
    </row>
    <row r="13" spans="1:17">
      <c r="B13" s="2" t="s">
        <v>302</v>
      </c>
      <c r="E13" s="2" t="s">
        <v>303</v>
      </c>
      <c r="I13" s="2" t="s">
        <v>304</v>
      </c>
      <c r="K13" s="7" t="s">
        <v>305</v>
      </c>
    </row>
    <row r="14" spans="1:17">
      <c r="B14" s="2" t="s">
        <v>306</v>
      </c>
      <c r="E14" s="2" t="s">
        <v>307</v>
      </c>
      <c r="I14" s="2" t="s">
        <v>308</v>
      </c>
      <c r="K14" s="2" t="s">
        <v>309</v>
      </c>
    </row>
    <row r="15" spans="1:17">
      <c r="B15" s="2" t="s">
        <v>310</v>
      </c>
      <c r="E15" s="2" t="s">
        <v>311</v>
      </c>
      <c r="I15" s="2" t="s">
        <v>312</v>
      </c>
      <c r="K15" s="2" t="s">
        <v>313</v>
      </c>
    </row>
    <row r="16" spans="1:17">
      <c r="B16" s="7" t="s">
        <v>314</v>
      </c>
      <c r="E16" s="2" t="s">
        <v>315</v>
      </c>
      <c r="H16" s="7"/>
      <c r="I16" s="7" t="s">
        <v>316</v>
      </c>
      <c r="K16" s="7" t="s">
        <v>317</v>
      </c>
    </row>
    <row r="18" spans="2:8">
      <c r="B18" s="25" t="str">
        <f>_xlfn.DISPIMG("ID_5A158090866F40B588767AA03A64FE79",1)</f>
        <v>=DISPIMG("ID_5A158090866F40B588767AA03A64FE79",1)</v>
      </c>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sheetData>
  <sheetProtection formatCells="0" formatColumns="0" formatRows="0" insertRows="0" insertColumns="0" insertHyperlinks="0" deleteColumns="0" deleteRows="0" sort="0" autoFilter="0" pivotTables="0"/>
  <mergeCells count="2">
    <mergeCell ref="A1:B2"/>
    <mergeCell ref="B18:H2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3"/>
  <sheetViews>
    <sheetView topLeftCell="R26" workbookViewId="0">
      <selection activeCell="G8" sqref="G8"/>
    </sheetView>
  </sheetViews>
  <sheetFormatPr defaultColWidth="11.3333333333333" defaultRowHeight="19.5"/>
  <cols>
    <col min="1" max="2" width="11.3333333333333" style="2"/>
    <col min="3" max="17" width="11.3333333333333" style="2" customWidth="1"/>
    <col min="18" max="16384" width="11.3333333333333" style="2"/>
  </cols>
  <sheetData>
    <row r="1" spans="1:20">
      <c r="A1" s="14" t="s">
        <v>50</v>
      </c>
      <c r="B1" s="15"/>
    </row>
    <row r="2" spans="1:20">
      <c r="A2" s="15"/>
      <c r="B2" s="15"/>
    </row>
    <row r="4" s="5" customFormat="1" spans="1:20">
      <c r="B4" s="10" t="s">
        <v>318</v>
      </c>
      <c r="D4" s="10" t="s">
        <v>319</v>
      </c>
      <c r="F4" s="10" t="s">
        <v>320</v>
      </c>
      <c r="H4" s="10" t="s">
        <v>321</v>
      </c>
      <c r="J4" s="10" t="s">
        <v>322</v>
      </c>
      <c r="L4" s="10" t="s">
        <v>272</v>
      </c>
      <c r="N4" s="10" t="s">
        <v>323</v>
      </c>
      <c r="P4" s="10" t="s">
        <v>324</v>
      </c>
      <c r="R4" s="10" t="s">
        <v>325</v>
      </c>
      <c r="T4" s="10" t="s">
        <v>326</v>
      </c>
    </row>
    <row r="6" spans="1:20">
      <c r="B6" s="7" t="s">
        <v>327</v>
      </c>
      <c r="D6" s="2">
        <v>2</v>
      </c>
      <c r="F6" s="7" t="s">
        <v>328</v>
      </c>
      <c r="H6" s="7" t="s">
        <v>329</v>
      </c>
      <c r="J6" s="7" t="s">
        <v>330</v>
      </c>
      <c r="L6" s="7" t="s">
        <v>331</v>
      </c>
      <c r="N6" s="7" t="s">
        <v>332</v>
      </c>
      <c r="P6" s="31" t="s">
        <v>86</v>
      </c>
      <c r="R6" s="7" t="s">
        <v>86</v>
      </c>
      <c r="T6" s="7" t="s">
        <v>86</v>
      </c>
    </row>
    <row r="8" spans="1:20">
      <c r="B8" s="7" t="s">
        <v>333</v>
      </c>
      <c r="D8" s="2">
        <v>4</v>
      </c>
      <c r="F8" s="7" t="s">
        <v>334</v>
      </c>
      <c r="H8" s="7" t="s">
        <v>335</v>
      </c>
      <c r="J8" s="7" t="s">
        <v>336</v>
      </c>
      <c r="L8" s="7" t="s">
        <v>337</v>
      </c>
      <c r="N8" s="7" t="s">
        <v>338</v>
      </c>
      <c r="P8" s="7" t="s">
        <v>339</v>
      </c>
      <c r="R8" s="7" t="s">
        <v>340</v>
      </c>
      <c r="T8" s="7" t="s">
        <v>86</v>
      </c>
    </row>
    <row r="10" spans="1:20">
      <c r="B10" s="7" t="s">
        <v>341</v>
      </c>
      <c r="D10" s="2">
        <v>6</v>
      </c>
      <c r="F10" s="7" t="s">
        <v>328</v>
      </c>
      <c r="H10" s="7" t="s">
        <v>328</v>
      </c>
      <c r="J10" s="7" t="s">
        <v>342</v>
      </c>
      <c r="L10" s="7" t="s">
        <v>343</v>
      </c>
      <c r="P10" s="32" t="s">
        <v>344</v>
      </c>
      <c r="R10" s="7" t="s">
        <v>340</v>
      </c>
      <c r="T10" s="7" t="s">
        <v>86</v>
      </c>
    </row>
    <row r="12" spans="1:20">
      <c r="B12" s="7" t="s">
        <v>345</v>
      </c>
      <c r="D12" s="2">
        <v>8</v>
      </c>
      <c r="F12" s="7" t="s">
        <v>346</v>
      </c>
      <c r="H12" s="7" t="s">
        <v>347</v>
      </c>
      <c r="J12" s="7" t="s">
        <v>348</v>
      </c>
      <c r="P12" s="7" t="s">
        <v>349</v>
      </c>
      <c r="R12" s="7" t="s">
        <v>340</v>
      </c>
      <c r="T12" s="7" t="s">
        <v>86</v>
      </c>
    </row>
    <row r="14" spans="1:20">
      <c r="B14" s="7" t="s">
        <v>350</v>
      </c>
      <c r="D14" s="2">
        <v>10</v>
      </c>
      <c r="F14" s="7" t="s">
        <v>351</v>
      </c>
      <c r="H14" s="7" t="s">
        <v>352</v>
      </c>
      <c r="J14" s="7" t="s">
        <v>353</v>
      </c>
      <c r="P14" s="7" t="s">
        <v>354</v>
      </c>
      <c r="R14" s="7" t="s">
        <v>340</v>
      </c>
      <c r="T14" s="7" t="s">
        <v>86</v>
      </c>
    </row>
    <row r="16" spans="1:20">
      <c r="B16" s="7" t="s">
        <v>355</v>
      </c>
      <c r="D16" s="2">
        <v>12</v>
      </c>
      <c r="F16" s="7" t="s">
        <v>356</v>
      </c>
      <c r="H16" s="7" t="s">
        <v>357</v>
      </c>
      <c r="J16" s="7" t="s">
        <v>358</v>
      </c>
      <c r="P16" s="7" t="s">
        <v>359</v>
      </c>
      <c r="R16" s="7" t="s">
        <v>360</v>
      </c>
      <c r="T16" s="7" t="s">
        <v>86</v>
      </c>
    </row>
    <row r="18" spans="2:23">
      <c r="B18" s="7" t="s">
        <v>361</v>
      </c>
      <c r="D18" s="2">
        <v>13</v>
      </c>
      <c r="F18" s="7" t="s">
        <v>362</v>
      </c>
      <c r="H18" s="7" t="s">
        <v>346</v>
      </c>
      <c r="J18" s="7" t="s">
        <v>363</v>
      </c>
      <c r="K18" s="7" t="s">
        <v>364</v>
      </c>
      <c r="P18" s="7" t="s">
        <v>365</v>
      </c>
      <c r="R18" s="7" t="s">
        <v>366</v>
      </c>
      <c r="T18" s="7" t="s">
        <v>340</v>
      </c>
    </row>
    <row r="20" spans="2:23">
      <c r="B20" s="7" t="s">
        <v>367</v>
      </c>
      <c r="D20" s="2">
        <v>13</v>
      </c>
      <c r="F20" s="7" t="s">
        <v>368</v>
      </c>
      <c r="H20" s="7" t="s">
        <v>369</v>
      </c>
      <c r="J20" s="7" t="s">
        <v>370</v>
      </c>
      <c r="P20" s="7" t="s">
        <v>371</v>
      </c>
      <c r="R20" s="7" t="s">
        <v>366</v>
      </c>
      <c r="T20" s="7" t="s">
        <v>340</v>
      </c>
    </row>
    <row r="22" spans="2:23">
      <c r="B22" s="7" t="s">
        <v>372</v>
      </c>
      <c r="D22" s="2">
        <v>13</v>
      </c>
      <c r="F22" s="7" t="s">
        <v>373</v>
      </c>
      <c r="H22" s="7" t="s">
        <v>374</v>
      </c>
      <c r="J22" s="7" t="s">
        <v>375</v>
      </c>
      <c r="P22" s="7" t="s">
        <v>376</v>
      </c>
      <c r="R22" s="7" t="s">
        <v>377</v>
      </c>
      <c r="T22" s="7" t="s">
        <v>340</v>
      </c>
      <c r="U22" s="7" t="s">
        <v>366</v>
      </c>
    </row>
    <row r="24" spans="2:23">
      <c r="B24" s="7" t="s">
        <v>378</v>
      </c>
      <c r="D24" s="2">
        <v>15</v>
      </c>
      <c r="F24" s="7" t="s">
        <v>379</v>
      </c>
      <c r="H24" s="7" t="s">
        <v>380</v>
      </c>
      <c r="J24" s="7" t="s">
        <v>381</v>
      </c>
      <c r="K24" s="7" t="s">
        <v>382</v>
      </c>
      <c r="P24" s="7" t="s">
        <v>383</v>
      </c>
      <c r="R24" s="7" t="s">
        <v>377</v>
      </c>
      <c r="T24" s="7" t="s">
        <v>340</v>
      </c>
      <c r="U24" s="7" t="s">
        <v>366</v>
      </c>
      <c r="V24" s="7" t="s">
        <v>377</v>
      </c>
    </row>
    <row r="26" spans="2:23">
      <c r="B26" s="7" t="s">
        <v>384</v>
      </c>
      <c r="D26" s="2">
        <v>16</v>
      </c>
      <c r="F26" s="7" t="s">
        <v>385</v>
      </c>
      <c r="H26" s="7" t="s">
        <v>386</v>
      </c>
      <c r="J26" s="7" t="s">
        <v>387</v>
      </c>
      <c r="P26" s="7" t="s">
        <v>388</v>
      </c>
      <c r="R26" s="7" t="s">
        <v>389</v>
      </c>
      <c r="T26" s="7" t="s">
        <v>340</v>
      </c>
      <c r="U26" s="7" t="s">
        <v>366</v>
      </c>
      <c r="V26" s="7" t="s">
        <v>377</v>
      </c>
    </row>
    <row r="28" spans="2:23">
      <c r="B28" s="7" t="s">
        <v>390</v>
      </c>
      <c r="D28" s="2">
        <v>17</v>
      </c>
      <c r="F28" s="7" t="s">
        <v>391</v>
      </c>
      <c r="H28" s="7" t="s">
        <v>392</v>
      </c>
      <c r="J28" s="7" t="s">
        <v>393</v>
      </c>
      <c r="K28" s="7" t="s">
        <v>394</v>
      </c>
      <c r="P28" s="7" t="s">
        <v>395</v>
      </c>
      <c r="R28" s="7" t="s">
        <v>396</v>
      </c>
      <c r="T28" s="7" t="s">
        <v>340</v>
      </c>
      <c r="U28" s="7" t="s">
        <v>366</v>
      </c>
      <c r="V28" s="7" t="s">
        <v>377</v>
      </c>
      <c r="W28" s="7" t="s">
        <v>389</v>
      </c>
    </row>
    <row r="30" spans="2:23">
      <c r="B30" s="7" t="s">
        <v>397</v>
      </c>
      <c r="D30" s="2">
        <v>23</v>
      </c>
      <c r="F30" s="7" t="s">
        <v>398</v>
      </c>
      <c r="H30" s="7" t="s">
        <v>399</v>
      </c>
      <c r="J30" s="7" t="s">
        <v>400</v>
      </c>
      <c r="K30" s="7" t="s">
        <v>401</v>
      </c>
      <c r="P30" s="7" t="s">
        <v>402</v>
      </c>
      <c r="R30" s="7" t="s">
        <v>400</v>
      </c>
      <c r="T30" s="7" t="s">
        <v>340</v>
      </c>
      <c r="U30" s="7" t="s">
        <v>366</v>
      </c>
      <c r="V30" s="7" t="s">
        <v>377</v>
      </c>
      <c r="W30" s="7" t="s">
        <v>389</v>
      </c>
    </row>
    <row r="32" spans="2:23">
      <c r="B32" s="7" t="s">
        <v>403</v>
      </c>
    </row>
    <row r="33" spans="2:2">
      <c r="B33" s="7" t="s">
        <v>404</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5"/>
  <sheetViews>
    <sheetView topLeftCell="J41" workbookViewId="0">
      <selection activeCell="J41" sqref="J41:L41"/>
    </sheetView>
  </sheetViews>
  <sheetFormatPr defaultColWidth="11.3333333333333" defaultRowHeight="19.5"/>
  <cols>
    <col min="1" max="16384" width="11.3333333333333" style="2"/>
  </cols>
  <sheetData>
    <row r="1" spans="1:12">
      <c r="A1" s="14" t="s">
        <v>198</v>
      </c>
      <c r="B1" s="15"/>
      <c r="C1" s="29" t="s">
        <v>405</v>
      </c>
      <c r="D1" s="25"/>
      <c r="E1" s="25"/>
      <c r="F1" s="25"/>
      <c r="G1" s="25"/>
    </row>
    <row r="2" spans="1:12">
      <c r="A2" s="15"/>
      <c r="B2" s="15"/>
      <c r="C2" s="25"/>
      <c r="D2" s="25"/>
      <c r="E2" s="25"/>
      <c r="F2" s="25"/>
      <c r="G2" s="25"/>
    </row>
    <row r="4" s="5" customFormat="1" spans="1:12">
      <c r="B4" s="10" t="s">
        <v>318</v>
      </c>
      <c r="C4" s="10" t="s">
        <v>221</v>
      </c>
      <c r="D4" s="10"/>
      <c r="E4" s="10" t="s">
        <v>406</v>
      </c>
      <c r="G4" s="10" t="s">
        <v>224</v>
      </c>
      <c r="I4" s="10"/>
      <c r="J4" s="10" t="s">
        <v>407</v>
      </c>
      <c r="L4" s="10" t="s">
        <v>408</v>
      </c>
    </row>
    <row r="5" spans="1:12">
      <c r="B5" s="8" t="s">
        <v>333</v>
      </c>
      <c r="J5" s="2">
        <v>20</v>
      </c>
      <c r="L5" s="2">
        <v>60</v>
      </c>
    </row>
    <row r="7" spans="1:12">
      <c r="B7" s="2">
        <v>0</v>
      </c>
      <c r="C7" s="7" t="s">
        <v>409</v>
      </c>
      <c r="E7" s="7" t="s">
        <v>410</v>
      </c>
      <c r="G7" s="2" t="s">
        <v>411</v>
      </c>
    </row>
    <row r="8" spans="1:12">
      <c r="B8" s="7">
        <v>1</v>
      </c>
      <c r="C8" s="7" t="s">
        <v>412</v>
      </c>
      <c r="E8" s="7" t="s">
        <v>413</v>
      </c>
      <c r="G8" s="7" t="s">
        <v>414</v>
      </c>
    </row>
    <row r="9" spans="1:12">
      <c r="B9" s="2">
        <v>2</v>
      </c>
      <c r="C9" s="7" t="s">
        <v>415</v>
      </c>
      <c r="E9" s="7" t="s">
        <v>416</v>
      </c>
      <c r="G9" s="7" t="s">
        <v>417</v>
      </c>
    </row>
    <row r="11" spans="1:12">
      <c r="B11" s="8" t="s">
        <v>341</v>
      </c>
      <c r="J11" s="2">
        <v>40</v>
      </c>
      <c r="L11" s="2">
        <v>120</v>
      </c>
    </row>
    <row r="13" spans="1:12">
      <c r="B13" s="2">
        <v>3</v>
      </c>
      <c r="C13" s="7" t="s">
        <v>418</v>
      </c>
      <c r="E13" s="7" t="s">
        <v>419</v>
      </c>
      <c r="G13" s="7" t="s">
        <v>420</v>
      </c>
    </row>
    <row r="14" spans="1:12">
      <c r="B14" s="2">
        <v>4</v>
      </c>
      <c r="C14" s="7" t="s">
        <v>421</v>
      </c>
      <c r="E14" s="7" t="s">
        <v>422</v>
      </c>
      <c r="G14" s="7" t="s">
        <v>423</v>
      </c>
    </row>
    <row r="15" spans="1:12">
      <c r="B15" s="2">
        <v>5</v>
      </c>
      <c r="C15" s="7" t="s">
        <v>424</v>
      </c>
      <c r="E15" s="7" t="s">
        <v>416</v>
      </c>
      <c r="G15" s="7" t="s">
        <v>425</v>
      </c>
    </row>
    <row r="17" spans="1:12">
      <c r="B17" s="8" t="s">
        <v>345</v>
      </c>
      <c r="J17" s="2">
        <v>60</v>
      </c>
      <c r="L17" s="2">
        <v>180</v>
      </c>
    </row>
    <row r="19" spans="1:12">
      <c r="B19" s="2">
        <v>6</v>
      </c>
      <c r="C19" s="7" t="s">
        <v>426</v>
      </c>
      <c r="E19" s="7" t="s">
        <v>427</v>
      </c>
      <c r="G19" s="7" t="s">
        <v>428</v>
      </c>
    </row>
    <row r="20" spans="1:12">
      <c r="B20" s="2">
        <v>7</v>
      </c>
      <c r="C20" s="7" t="s">
        <v>429</v>
      </c>
      <c r="E20" s="7" t="s">
        <v>430</v>
      </c>
      <c r="G20" s="7" t="s">
        <v>431</v>
      </c>
    </row>
    <row r="21" spans="1:12">
      <c r="B21" s="2">
        <v>8</v>
      </c>
      <c r="C21" s="7" t="s">
        <v>432</v>
      </c>
      <c r="E21" s="7" t="s">
        <v>433</v>
      </c>
      <c r="G21" s="7" t="s">
        <v>434</v>
      </c>
    </row>
    <row r="22" spans="1:12">
      <c r="B22" s="7"/>
    </row>
    <row r="23" spans="1:12">
      <c r="B23" s="30" t="s">
        <v>350</v>
      </c>
      <c r="J23" s="2">
        <v>80</v>
      </c>
      <c r="L23" s="2">
        <v>240</v>
      </c>
    </row>
    <row r="25" spans="1:12">
      <c r="B25" s="2">
        <v>9</v>
      </c>
      <c r="C25" s="7" t="s">
        <v>435</v>
      </c>
      <c r="E25" s="7" t="s">
        <v>436</v>
      </c>
      <c r="G25" s="7" t="s">
        <v>437</v>
      </c>
    </row>
    <row r="26" spans="1:12">
      <c r="B26" s="2">
        <v>10</v>
      </c>
      <c r="C26" s="7" t="s">
        <v>438</v>
      </c>
      <c r="E26" s="7" t="s">
        <v>439</v>
      </c>
      <c r="G26" s="7" t="s">
        <v>440</v>
      </c>
    </row>
    <row r="27" spans="1:12">
      <c r="B27" s="2">
        <v>11</v>
      </c>
      <c r="C27" s="7" t="s">
        <v>441</v>
      </c>
      <c r="E27" s="7" t="s">
        <v>442</v>
      </c>
      <c r="G27" s="7" t="s">
        <v>443</v>
      </c>
    </row>
    <row r="29" spans="1:12">
      <c r="B29" s="8" t="s">
        <v>355</v>
      </c>
      <c r="J29" s="2">
        <v>100</v>
      </c>
      <c r="L29" s="2">
        <v>300</v>
      </c>
    </row>
    <row r="30" spans="1:12">
      <c r="A30" s="7"/>
    </row>
    <row r="31" spans="1:12">
      <c r="B31" s="2">
        <v>12</v>
      </c>
      <c r="C31" s="7" t="s">
        <v>444</v>
      </c>
      <c r="E31" s="7" t="s">
        <v>445</v>
      </c>
      <c r="G31" s="7" t="s">
        <v>446</v>
      </c>
    </row>
    <row r="32" spans="1:12">
      <c r="B32" s="2">
        <v>13</v>
      </c>
      <c r="C32" s="7" t="s">
        <v>447</v>
      </c>
      <c r="E32" s="7" t="s">
        <v>448</v>
      </c>
      <c r="G32" s="7" t="s">
        <v>449</v>
      </c>
    </row>
    <row r="33" spans="2:12">
      <c r="B33" s="2">
        <v>14</v>
      </c>
      <c r="C33" s="7" t="s">
        <v>450</v>
      </c>
      <c r="E33" s="7" t="s">
        <v>451</v>
      </c>
      <c r="G33" s="7" t="s">
        <v>452</v>
      </c>
    </row>
    <row r="35" spans="2:12">
      <c r="B35" s="8" t="s">
        <v>361</v>
      </c>
      <c r="J35" s="2">
        <v>120</v>
      </c>
      <c r="L35" s="2">
        <v>360</v>
      </c>
    </row>
    <row r="37" spans="2:12">
      <c r="B37" s="2">
        <v>15</v>
      </c>
      <c r="C37" s="7" t="s">
        <v>453</v>
      </c>
      <c r="E37" s="7" t="s">
        <v>445</v>
      </c>
      <c r="G37" s="7" t="s">
        <v>454</v>
      </c>
    </row>
    <row r="38" spans="2:12">
      <c r="B38" s="2">
        <v>16</v>
      </c>
      <c r="C38" s="7" t="s">
        <v>455</v>
      </c>
      <c r="E38" s="7" t="s">
        <v>422</v>
      </c>
      <c r="G38" s="7" t="s">
        <v>456</v>
      </c>
    </row>
    <row r="39" spans="2:12">
      <c r="B39" s="2">
        <v>17</v>
      </c>
      <c r="C39" s="7" t="s">
        <v>457</v>
      </c>
      <c r="E39" s="7" t="s">
        <v>416</v>
      </c>
      <c r="G39" s="7" t="s">
        <v>458</v>
      </c>
    </row>
    <row r="40" spans="2:12">
      <c r="J40" s="10" t="s">
        <v>407</v>
      </c>
      <c r="K40" s="5"/>
      <c r="L40" s="10" t="s">
        <v>408</v>
      </c>
    </row>
    <row r="41" spans="2:12">
      <c r="B41" s="8" t="s">
        <v>367</v>
      </c>
      <c r="J41" s="2">
        <v>140</v>
      </c>
      <c r="L41" s="2">
        <v>420</v>
      </c>
    </row>
    <row r="43" spans="2:12">
      <c r="B43" s="2">
        <v>18</v>
      </c>
      <c r="C43" s="7" t="s">
        <v>459</v>
      </c>
      <c r="E43" s="7" t="s">
        <v>460</v>
      </c>
      <c r="G43" s="7" t="s">
        <v>461</v>
      </c>
    </row>
    <row r="44" spans="2:12">
      <c r="B44" s="2">
        <v>19</v>
      </c>
      <c r="C44" s="7" t="s">
        <v>462</v>
      </c>
      <c r="E44" s="7" t="s">
        <v>433</v>
      </c>
      <c r="G44" s="7" t="s">
        <v>463</v>
      </c>
    </row>
    <row r="45" spans="2:12">
      <c r="B45" s="2">
        <v>20</v>
      </c>
      <c r="C45" s="7" t="s">
        <v>464</v>
      </c>
      <c r="E45" s="7" t="s">
        <v>465</v>
      </c>
      <c r="G45" s="7" t="s">
        <v>466</v>
      </c>
    </row>
    <row r="47" spans="2:12">
      <c r="B47" s="8" t="s">
        <v>372</v>
      </c>
      <c r="J47" s="2">
        <v>160</v>
      </c>
      <c r="L47" s="2">
        <v>480</v>
      </c>
    </row>
    <row r="49" spans="2:12">
      <c r="B49" s="2">
        <v>21</v>
      </c>
      <c r="C49" s="7" t="s">
        <v>467</v>
      </c>
      <c r="E49" s="7" t="s">
        <v>460</v>
      </c>
      <c r="G49" s="7" t="s">
        <v>468</v>
      </c>
    </row>
    <row r="50" spans="2:12">
      <c r="B50" s="2">
        <v>22</v>
      </c>
      <c r="C50" s="7" t="s">
        <v>469</v>
      </c>
      <c r="E50" s="7" t="s">
        <v>470</v>
      </c>
      <c r="G50" s="7" t="s">
        <v>471</v>
      </c>
    </row>
    <row r="51" spans="2:12">
      <c r="B51" s="2">
        <v>23</v>
      </c>
      <c r="C51" s="7" t="s">
        <v>472</v>
      </c>
      <c r="E51" s="7" t="s">
        <v>473</v>
      </c>
      <c r="G51" s="7" t="s">
        <v>474</v>
      </c>
    </row>
    <row r="53" spans="2:12">
      <c r="B53" s="8" t="s">
        <v>378</v>
      </c>
      <c r="J53" s="2">
        <v>180</v>
      </c>
      <c r="L53" s="2">
        <v>540</v>
      </c>
    </row>
    <row r="55" spans="2:12">
      <c r="B55" s="2">
        <v>24</v>
      </c>
      <c r="C55" s="7" t="s">
        <v>475</v>
      </c>
      <c r="E55" s="7" t="s">
        <v>460</v>
      </c>
      <c r="G55" s="7" t="s">
        <v>476</v>
      </c>
    </row>
    <row r="56" spans="2:12">
      <c r="B56" s="2">
        <v>25</v>
      </c>
      <c r="C56" s="7" t="s">
        <v>477</v>
      </c>
      <c r="E56" s="7" t="s">
        <v>439</v>
      </c>
      <c r="G56" s="7" t="s">
        <v>478</v>
      </c>
    </row>
    <row r="57" spans="2:12">
      <c r="B57" s="2">
        <v>26</v>
      </c>
      <c r="C57" s="7" t="s">
        <v>479</v>
      </c>
      <c r="E57" s="7" t="s">
        <v>480</v>
      </c>
      <c r="G57" s="7" t="s">
        <v>481</v>
      </c>
    </row>
    <row r="59" spans="2:12">
      <c r="B59" s="8" t="s">
        <v>384</v>
      </c>
      <c r="J59" s="2">
        <v>200</v>
      </c>
      <c r="L59" s="2">
        <v>600</v>
      </c>
    </row>
    <row r="61" spans="2:12">
      <c r="B61" s="2">
        <v>27</v>
      </c>
      <c r="C61" s="7" t="s">
        <v>482</v>
      </c>
      <c r="E61" s="7" t="s">
        <v>460</v>
      </c>
      <c r="G61" s="7" t="s">
        <v>483</v>
      </c>
    </row>
    <row r="62" spans="2:12">
      <c r="B62" s="2">
        <v>28</v>
      </c>
      <c r="C62" s="7" t="s">
        <v>484</v>
      </c>
      <c r="E62" s="7" t="s">
        <v>448</v>
      </c>
      <c r="G62" s="7" t="s">
        <v>485</v>
      </c>
    </row>
    <row r="63" spans="2:12">
      <c r="B63" s="2">
        <v>29</v>
      </c>
      <c r="C63" s="7" t="s">
        <v>486</v>
      </c>
      <c r="E63" s="7" t="s">
        <v>473</v>
      </c>
      <c r="G63" s="7" t="s">
        <v>487</v>
      </c>
    </row>
    <row r="65" spans="2:12">
      <c r="B65" s="8" t="s">
        <v>390</v>
      </c>
      <c r="J65" s="2">
        <v>220</v>
      </c>
      <c r="L65" s="2">
        <v>660</v>
      </c>
    </row>
    <row r="67" spans="2:12">
      <c r="B67" s="2">
        <v>30</v>
      </c>
      <c r="C67" s="7" t="s">
        <v>488</v>
      </c>
      <c r="E67" s="7" t="s">
        <v>460</v>
      </c>
      <c r="G67" s="7" t="s">
        <v>489</v>
      </c>
    </row>
    <row r="68" spans="2:12">
      <c r="B68" s="2">
        <v>31</v>
      </c>
      <c r="C68" s="7" t="s">
        <v>490</v>
      </c>
      <c r="E68" s="7" t="s">
        <v>470</v>
      </c>
      <c r="G68" s="7" t="s">
        <v>491</v>
      </c>
    </row>
    <row r="69" spans="2:12">
      <c r="B69" s="2">
        <v>32</v>
      </c>
      <c r="C69" s="7" t="s">
        <v>492</v>
      </c>
      <c r="E69" s="7" t="s">
        <v>493</v>
      </c>
      <c r="G69" s="7" t="s">
        <v>494</v>
      </c>
    </row>
    <row r="71" spans="2:12">
      <c r="B71" s="8" t="s">
        <v>397</v>
      </c>
      <c r="J71" s="2">
        <v>240</v>
      </c>
      <c r="L71" s="2">
        <v>720</v>
      </c>
    </row>
    <row r="73" spans="2:12">
      <c r="B73" s="2">
        <v>33</v>
      </c>
      <c r="C73" s="7" t="s">
        <v>495</v>
      </c>
      <c r="E73" s="7" t="s">
        <v>496</v>
      </c>
      <c r="G73" s="7" t="s">
        <v>497</v>
      </c>
    </row>
    <row r="74" spans="2:12">
      <c r="B74" s="2">
        <v>34</v>
      </c>
      <c r="C74" s="7" t="s">
        <v>498</v>
      </c>
      <c r="E74" s="7" t="s">
        <v>499</v>
      </c>
      <c r="G74" s="7" t="s">
        <v>500</v>
      </c>
    </row>
    <row r="75" spans="2:12">
      <c r="B75" s="2">
        <v>35</v>
      </c>
      <c r="C75" s="7" t="s">
        <v>501</v>
      </c>
      <c r="E75" s="7" t="s">
        <v>493</v>
      </c>
      <c r="G75" s="7" t="s">
        <v>502</v>
      </c>
    </row>
  </sheetData>
  <sheetProtection formatCells="0" formatColumns="0" formatRows="0" insertRows="0" insertColumns="0" insertHyperlinks="0" deleteColumns="0" deleteRows="0" sort="0" autoFilter="0" pivotTables="0"/>
  <mergeCells count="2">
    <mergeCell ref="A1:B2"/>
    <mergeCell ref="C1:G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opLeftCell="K4" workbookViewId="0">
      <selection activeCell="L4" sqref="L4:L8"/>
    </sheetView>
  </sheetViews>
  <sheetFormatPr defaultColWidth="11.3333333333333" defaultRowHeight="19.5"/>
  <cols>
    <col min="1" max="16384" width="11.3333333333333" style="2"/>
  </cols>
  <sheetData>
    <row r="1" spans="1:14">
      <c r="A1" s="14" t="s">
        <v>203</v>
      </c>
      <c r="B1" s="15"/>
    </row>
    <row r="2" spans="1:14">
      <c r="A2" s="15"/>
      <c r="B2" s="15"/>
      <c r="D2" s="7" t="s">
        <v>503</v>
      </c>
    </row>
    <row r="3" spans="1:14">
      <c r="D3" s="7" t="s">
        <v>504</v>
      </c>
    </row>
    <row r="4" s="1" customFormat="1" spans="1:14">
      <c r="B4" s="10" t="s">
        <v>505</v>
      </c>
      <c r="C4" s="10" t="s">
        <v>221</v>
      </c>
      <c r="D4" s="27"/>
      <c r="E4" s="10" t="s">
        <v>227</v>
      </c>
      <c r="G4" s="10"/>
      <c r="H4" s="10" t="s">
        <v>224</v>
      </c>
      <c r="L4" s="10" t="s">
        <v>506</v>
      </c>
      <c r="N4" s="10" t="s">
        <v>507</v>
      </c>
    </row>
    <row r="6" spans="1:14">
      <c r="B6" s="28">
        <v>0</v>
      </c>
      <c r="C6" s="7" t="s">
        <v>508</v>
      </c>
      <c r="E6" s="7" t="s">
        <v>509</v>
      </c>
      <c r="G6" s="7"/>
      <c r="H6" s="7" t="s">
        <v>510</v>
      </c>
      <c r="L6" s="7" t="s">
        <v>511</v>
      </c>
    </row>
    <row r="8" spans="1:14">
      <c r="B8" s="2">
        <v>1</v>
      </c>
      <c r="C8" s="7" t="s">
        <v>512</v>
      </c>
      <c r="E8" s="7" t="s">
        <v>513</v>
      </c>
      <c r="G8" s="7"/>
      <c r="H8" s="7" t="s">
        <v>514</v>
      </c>
      <c r="L8" s="7" t="s">
        <v>515</v>
      </c>
    </row>
    <row r="10" spans="1:14">
      <c r="B10" s="2">
        <v>2</v>
      </c>
      <c r="C10" s="7" t="s">
        <v>516</v>
      </c>
      <c r="E10" s="7" t="s">
        <v>517</v>
      </c>
      <c r="G10" s="7"/>
      <c r="H10" s="7" t="s">
        <v>518</v>
      </c>
      <c r="L10" s="7" t="s">
        <v>519</v>
      </c>
    </row>
    <row r="12" spans="1:14">
      <c r="B12" s="2">
        <v>3</v>
      </c>
      <c r="C12" s="7" t="s">
        <v>520</v>
      </c>
      <c r="E12" s="7" t="s">
        <v>521</v>
      </c>
      <c r="G12" s="7"/>
      <c r="H12" s="7" t="s">
        <v>522</v>
      </c>
      <c r="L12" s="7" t="s">
        <v>523</v>
      </c>
      <c r="N12" s="7" t="s">
        <v>524</v>
      </c>
    </row>
    <row r="14" spans="1:14">
      <c r="B14" s="2">
        <v>4</v>
      </c>
      <c r="C14" s="7" t="s">
        <v>525</v>
      </c>
      <c r="E14" s="7" t="s">
        <v>526</v>
      </c>
      <c r="G14" s="7"/>
      <c r="H14" s="7" t="s">
        <v>527</v>
      </c>
      <c r="L14" s="7" t="s">
        <v>528</v>
      </c>
    </row>
    <row r="16" spans="1:14">
      <c r="B16" s="2">
        <v>5</v>
      </c>
      <c r="C16" s="7" t="s">
        <v>529</v>
      </c>
      <c r="E16" s="7" t="s">
        <v>530</v>
      </c>
      <c r="G16" s="7"/>
      <c r="H16" s="7" t="s">
        <v>531</v>
      </c>
      <c r="L16" s="7" t="s">
        <v>532</v>
      </c>
    </row>
    <row r="18" spans="2:12">
      <c r="B18" s="2">
        <v>6</v>
      </c>
      <c r="C18" s="7" t="s">
        <v>533</v>
      </c>
      <c r="E18" s="7" t="s">
        <v>534</v>
      </c>
      <c r="G18" s="7"/>
      <c r="H18" s="7" t="s">
        <v>535</v>
      </c>
      <c r="L18" s="7" t="s">
        <v>536</v>
      </c>
    </row>
    <row r="20" spans="2:12">
      <c r="B20" s="2">
        <v>7</v>
      </c>
      <c r="C20" s="7" t="s">
        <v>537</v>
      </c>
      <c r="E20" s="7" t="s">
        <v>538</v>
      </c>
      <c r="H20" s="7" t="s">
        <v>539</v>
      </c>
      <c r="L20" s="7" t="s">
        <v>540</v>
      </c>
    </row>
    <row r="22" spans="2:12">
      <c r="B22" s="2">
        <v>8</v>
      </c>
      <c r="C22" s="7" t="s">
        <v>541</v>
      </c>
      <c r="E22" s="7" t="s">
        <v>542</v>
      </c>
      <c r="H22" s="7" t="s">
        <v>543</v>
      </c>
      <c r="L22" s="7" t="s">
        <v>544</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2"/>
  <sheetViews>
    <sheetView topLeftCell="B7" workbookViewId="0">
      <selection activeCell="D9" sqref="D9"/>
    </sheetView>
  </sheetViews>
  <sheetFormatPr defaultColWidth="11.3333333333333" defaultRowHeight="19.5"/>
  <cols>
    <col min="1" max="16384" width="11.3333333333333" style="2"/>
  </cols>
  <sheetData>
    <row r="1" spans="1:19">
      <c r="A1" s="22" t="s">
        <v>207</v>
      </c>
      <c r="B1" s="23"/>
    </row>
    <row r="2" spans="1:19">
      <c r="A2" s="23"/>
      <c r="B2" s="23"/>
    </row>
    <row r="4" s="5" customFormat="1" spans="1:19">
      <c r="B4" s="5">
        <v>0</v>
      </c>
      <c r="C4" s="10" t="s">
        <v>545</v>
      </c>
    </row>
    <row r="7" spans="1:19">
      <c r="B7" s="8" t="s">
        <v>546</v>
      </c>
      <c r="I7" s="24" t="s">
        <v>547</v>
      </c>
    </row>
    <row r="8" spans="1:19">
      <c r="B8" s="2">
        <v>1</v>
      </c>
      <c r="C8" s="7" t="s">
        <v>548</v>
      </c>
      <c r="I8" s="24" t="s">
        <v>549</v>
      </c>
    </row>
    <row r="10" spans="1:19">
      <c r="B10" s="2">
        <v>2</v>
      </c>
      <c r="C10" s="7" t="s">
        <v>550</v>
      </c>
    </row>
    <row r="11" spans="1:19">
      <c r="N11" s="25" t="str">
        <f>_xlfn.DISPIMG("ID_0EA69215E68E49B5A224A85F775EC25C",1)</f>
        <v>=DISPIMG("ID_0EA69215E68E49B5A224A85F775EC25C",1)</v>
      </c>
      <c r="O11" s="25"/>
      <c r="P11" s="25"/>
      <c r="Q11" s="25"/>
      <c r="R11" s="25"/>
      <c r="S11" s="25"/>
    </row>
    <row r="12" spans="1:19">
      <c r="B12" s="2">
        <v>3</v>
      </c>
      <c r="C12" s="7" t="s">
        <v>551</v>
      </c>
      <c r="N12" s="25"/>
      <c r="O12" s="25"/>
      <c r="P12" s="25"/>
      <c r="Q12" s="25"/>
      <c r="R12" s="25"/>
      <c r="S12" s="25"/>
    </row>
    <row r="13" spans="1:19">
      <c r="N13" s="25"/>
      <c r="O13" s="25"/>
      <c r="P13" s="25"/>
      <c r="Q13" s="25"/>
      <c r="R13" s="25"/>
      <c r="S13" s="25"/>
    </row>
    <row r="14" spans="1:19">
      <c r="B14" s="2">
        <v>4</v>
      </c>
      <c r="C14" s="7" t="s">
        <v>552</v>
      </c>
      <c r="N14" s="25"/>
      <c r="O14" s="25"/>
      <c r="P14" s="25"/>
      <c r="Q14" s="25"/>
      <c r="R14" s="25"/>
      <c r="S14" s="25"/>
    </row>
    <row r="15" spans="1:19">
      <c r="N15" s="25"/>
      <c r="O15" s="25"/>
      <c r="P15" s="25"/>
      <c r="Q15" s="25"/>
      <c r="R15" s="25"/>
      <c r="S15" s="25"/>
    </row>
    <row r="16" s="6" customFormat="1" spans="1:19">
      <c r="B16" s="8" t="s">
        <v>553</v>
      </c>
      <c r="D16" s="8" t="s">
        <v>554</v>
      </c>
      <c r="F16" s="8" t="s">
        <v>207</v>
      </c>
      <c r="N16" s="25"/>
      <c r="O16" s="25"/>
      <c r="P16" s="25"/>
      <c r="Q16" s="25"/>
      <c r="R16" s="25"/>
      <c r="S16" s="25"/>
    </row>
    <row r="17" spans="2:19">
      <c r="B17" s="2">
        <v>10</v>
      </c>
      <c r="D17" s="7" t="s">
        <v>416</v>
      </c>
      <c r="E17" s="2">
        <v>0</v>
      </c>
      <c r="F17" s="7" t="s">
        <v>555</v>
      </c>
      <c r="H17" s="7" t="s">
        <v>556</v>
      </c>
      <c r="J17" s="7" t="s">
        <v>557</v>
      </c>
      <c r="N17" s="25"/>
      <c r="O17" s="25"/>
      <c r="P17" s="25"/>
      <c r="Q17" s="25"/>
      <c r="R17" s="25"/>
      <c r="S17" s="25"/>
    </row>
    <row r="18" spans="2:19">
      <c r="B18" s="2">
        <v>20</v>
      </c>
      <c r="D18" s="7" t="s">
        <v>410</v>
      </c>
      <c r="F18" s="24" t="s">
        <v>558</v>
      </c>
      <c r="N18" s="25"/>
      <c r="O18" s="25"/>
      <c r="P18" s="25"/>
      <c r="Q18" s="25"/>
      <c r="R18" s="25"/>
      <c r="S18" s="25"/>
    </row>
    <row r="19" spans="2:19">
      <c r="B19" s="2">
        <v>30</v>
      </c>
      <c r="D19" s="7" t="s">
        <v>559</v>
      </c>
      <c r="N19" s="25"/>
      <c r="O19" s="25"/>
      <c r="P19" s="25"/>
      <c r="Q19" s="25"/>
      <c r="R19" s="25"/>
      <c r="S19" s="25"/>
    </row>
    <row r="20" spans="2:19">
      <c r="B20" s="2">
        <v>40</v>
      </c>
      <c r="D20" s="7" t="s">
        <v>560</v>
      </c>
      <c r="N20" s="25"/>
      <c r="O20" s="25"/>
      <c r="P20" s="25"/>
      <c r="Q20" s="25"/>
      <c r="R20" s="25"/>
      <c r="S20" s="25"/>
    </row>
    <row r="21" spans="2:19">
      <c r="B21" s="2">
        <v>50</v>
      </c>
      <c r="D21" s="7" t="s">
        <v>422</v>
      </c>
      <c r="E21" s="2">
        <v>1</v>
      </c>
      <c r="F21" s="7" t="s">
        <v>561</v>
      </c>
      <c r="H21" s="7" t="s">
        <v>562</v>
      </c>
      <c r="J21" s="7" t="s">
        <v>563</v>
      </c>
      <c r="N21" s="25"/>
      <c r="O21" s="25"/>
      <c r="P21" s="25"/>
      <c r="Q21" s="25"/>
      <c r="R21" s="25"/>
      <c r="S21" s="25"/>
    </row>
    <row r="22" spans="2:19">
      <c r="B22" s="2">
        <v>60</v>
      </c>
      <c r="D22" s="7" t="s">
        <v>564</v>
      </c>
      <c r="N22" s="25"/>
      <c r="O22" s="25"/>
      <c r="P22" s="25"/>
      <c r="Q22" s="25"/>
      <c r="R22" s="25"/>
      <c r="S22" s="25"/>
    </row>
    <row r="23" spans="2:19">
      <c r="B23" s="2">
        <v>70</v>
      </c>
      <c r="D23" s="7" t="s">
        <v>433</v>
      </c>
      <c r="N23" s="25"/>
      <c r="O23" s="25"/>
      <c r="P23" s="25"/>
      <c r="Q23" s="25"/>
      <c r="R23" s="25"/>
      <c r="S23" s="25"/>
    </row>
    <row r="24" spans="2:19">
      <c r="B24" s="2">
        <v>80</v>
      </c>
      <c r="D24" s="7" t="s">
        <v>565</v>
      </c>
    </row>
    <row r="25" spans="2:19">
      <c r="B25" s="2">
        <v>90</v>
      </c>
      <c r="D25" s="7" t="s">
        <v>451</v>
      </c>
    </row>
    <row r="26" spans="2:19">
      <c r="B26" s="2">
        <v>100</v>
      </c>
      <c r="D26" s="7" t="s">
        <v>86</v>
      </c>
      <c r="E26" s="2">
        <v>2</v>
      </c>
      <c r="F26" s="7" t="s">
        <v>566</v>
      </c>
      <c r="H26" s="7" t="s">
        <v>567</v>
      </c>
      <c r="J26" s="7" t="s">
        <v>568</v>
      </c>
    </row>
    <row r="27" spans="2:19">
      <c r="B27" s="26" t="s">
        <v>569</v>
      </c>
      <c r="H27" s="7" t="s">
        <v>570</v>
      </c>
    </row>
    <row r="28" spans="2:19">
      <c r="B28" s="7" t="s">
        <v>571</v>
      </c>
      <c r="H28" s="7" t="s">
        <v>572</v>
      </c>
    </row>
    <row r="31" s="1" customFormat="1" spans="2:19">
      <c r="B31" s="5">
        <v>1</v>
      </c>
      <c r="C31" s="10" t="s">
        <v>573</v>
      </c>
      <c r="D31" s="5"/>
      <c r="E31" s="5"/>
      <c r="F31" s="5"/>
      <c r="G31" s="5"/>
      <c r="H31" s="5"/>
      <c r="I31" s="5"/>
      <c r="J31" s="5"/>
      <c r="K31" s="5"/>
      <c r="L31" s="5"/>
      <c r="M31" s="5"/>
      <c r="N31" s="5"/>
      <c r="O31" s="5"/>
      <c r="P31" s="5"/>
    </row>
    <row r="34" spans="2:16">
      <c r="B34" s="8" t="s">
        <v>546</v>
      </c>
      <c r="I34" s="24" t="s">
        <v>547</v>
      </c>
    </row>
    <row r="35" spans="2:16">
      <c r="B35" s="2">
        <v>1</v>
      </c>
      <c r="C35" s="7" t="s">
        <v>574</v>
      </c>
      <c r="I35" s="24" t="s">
        <v>549</v>
      </c>
    </row>
    <row r="37" spans="2:16">
      <c r="B37" s="2">
        <v>2</v>
      </c>
      <c r="C37" s="7" t="s">
        <v>575</v>
      </c>
    </row>
    <row r="39" spans="2:16">
      <c r="B39" s="2">
        <v>3</v>
      </c>
      <c r="C39" s="7" t="s">
        <v>576</v>
      </c>
    </row>
    <row r="41" spans="2:16">
      <c r="B41" s="2">
        <v>4</v>
      </c>
      <c r="C41" s="7" t="s">
        <v>577</v>
      </c>
    </row>
    <row r="43" spans="2:16">
      <c r="B43" s="8" t="s">
        <v>553</v>
      </c>
      <c r="C43" s="6"/>
      <c r="D43" s="8" t="s">
        <v>554</v>
      </c>
      <c r="E43" s="6"/>
      <c r="F43" s="8" t="s">
        <v>207</v>
      </c>
      <c r="G43" s="6"/>
      <c r="H43" s="6"/>
      <c r="I43" s="6"/>
      <c r="J43" s="6"/>
      <c r="K43" s="6"/>
      <c r="L43" s="6"/>
      <c r="M43" s="6"/>
      <c r="N43" s="6"/>
      <c r="O43" s="6"/>
      <c r="P43" s="6"/>
    </row>
    <row r="44" spans="2:16">
      <c r="B44" s="2">
        <v>10</v>
      </c>
      <c r="D44" s="7" t="s">
        <v>578</v>
      </c>
      <c r="E44" s="2">
        <v>3</v>
      </c>
      <c r="F44" s="7" t="s">
        <v>579</v>
      </c>
      <c r="H44" s="7" t="s">
        <v>580</v>
      </c>
      <c r="J44" s="7" t="s">
        <v>557</v>
      </c>
    </row>
    <row r="45" spans="2:16">
      <c r="B45" s="2">
        <v>20</v>
      </c>
      <c r="D45" s="7" t="s">
        <v>436</v>
      </c>
      <c r="H45" s="24" t="s">
        <v>581</v>
      </c>
    </row>
    <row r="46" spans="2:16">
      <c r="B46" s="2">
        <v>30</v>
      </c>
      <c r="D46" s="7" t="s">
        <v>439</v>
      </c>
    </row>
    <row r="47" spans="2:16">
      <c r="B47" s="2">
        <v>40</v>
      </c>
      <c r="D47" s="7" t="s">
        <v>582</v>
      </c>
    </row>
    <row r="48" spans="2:16">
      <c r="B48" s="2">
        <v>50</v>
      </c>
      <c r="D48" s="7" t="s">
        <v>470</v>
      </c>
      <c r="E48" s="2">
        <v>4</v>
      </c>
      <c r="F48" s="7" t="s">
        <v>583</v>
      </c>
      <c r="H48" s="7" t="s">
        <v>584</v>
      </c>
      <c r="J48" s="7" t="s">
        <v>585</v>
      </c>
    </row>
    <row r="49" spans="2:13">
      <c r="B49" s="2">
        <v>60</v>
      </c>
      <c r="D49" s="7" t="s">
        <v>586</v>
      </c>
    </row>
    <row r="50" spans="2:13">
      <c r="B50" s="2">
        <v>70</v>
      </c>
      <c r="D50" s="7" t="s">
        <v>433</v>
      </c>
    </row>
    <row r="51" spans="2:13">
      <c r="B51" s="2">
        <v>80</v>
      </c>
      <c r="D51" s="7" t="s">
        <v>587</v>
      </c>
    </row>
    <row r="52" spans="2:13">
      <c r="B52" s="2">
        <v>90</v>
      </c>
      <c r="D52" s="7" t="s">
        <v>451</v>
      </c>
    </row>
    <row r="53" spans="2:13">
      <c r="B53" s="2">
        <v>100</v>
      </c>
      <c r="D53" s="7" t="s">
        <v>86</v>
      </c>
      <c r="E53" s="2">
        <v>5</v>
      </c>
      <c r="F53" s="7" t="s">
        <v>588</v>
      </c>
      <c r="H53" s="7" t="s">
        <v>589</v>
      </c>
      <c r="J53" s="7" t="s">
        <v>590</v>
      </c>
    </row>
    <row r="54" spans="2:13">
      <c r="B54" s="26" t="s">
        <v>569</v>
      </c>
      <c r="H54" s="7" t="s">
        <v>591</v>
      </c>
      <c r="J54" s="7" t="s">
        <v>592</v>
      </c>
    </row>
    <row r="55" spans="2:13">
      <c r="B55" s="7" t="s">
        <v>571</v>
      </c>
      <c r="H55" s="7"/>
    </row>
    <row r="58" s="1" customFormat="1" spans="2:13">
      <c r="B58" s="5">
        <v>2</v>
      </c>
      <c r="C58" s="10" t="s">
        <v>593</v>
      </c>
      <c r="D58" s="5"/>
      <c r="E58" s="5"/>
      <c r="F58" s="5"/>
      <c r="G58" s="5"/>
      <c r="H58" s="5"/>
      <c r="I58" s="5"/>
      <c r="J58" s="5"/>
      <c r="K58" s="5"/>
      <c r="L58" s="5"/>
      <c r="M58" s="5"/>
    </row>
    <row r="61" spans="2:13">
      <c r="B61" s="8" t="s">
        <v>546</v>
      </c>
      <c r="I61" s="24" t="s">
        <v>547</v>
      </c>
    </row>
    <row r="62" spans="2:13">
      <c r="B62" s="2">
        <v>1</v>
      </c>
      <c r="C62" s="7" t="s">
        <v>594</v>
      </c>
      <c r="I62" s="24" t="s">
        <v>549</v>
      </c>
    </row>
    <row r="64" spans="2:13">
      <c r="B64" s="2">
        <v>2</v>
      </c>
      <c r="C64" s="7" t="s">
        <v>595</v>
      </c>
    </row>
    <row r="66" spans="2:13">
      <c r="B66" s="2">
        <v>3</v>
      </c>
      <c r="C66" s="7" t="s">
        <v>596</v>
      </c>
    </row>
    <row r="68" spans="2:13">
      <c r="B68" s="2">
        <v>4</v>
      </c>
      <c r="C68" s="7" t="s">
        <v>597</v>
      </c>
    </row>
    <row r="70" spans="2:13">
      <c r="B70" s="8" t="s">
        <v>553</v>
      </c>
      <c r="C70" s="6"/>
      <c r="D70" s="8" t="s">
        <v>554</v>
      </c>
      <c r="E70" s="6"/>
      <c r="F70" s="8" t="s">
        <v>207</v>
      </c>
      <c r="G70" s="6"/>
      <c r="H70" s="6"/>
      <c r="I70" s="6"/>
      <c r="J70" s="6"/>
      <c r="K70" s="6"/>
      <c r="L70" s="6"/>
      <c r="M70" s="6"/>
    </row>
    <row r="71" spans="2:13">
      <c r="B71" s="2">
        <v>10</v>
      </c>
      <c r="D71" s="7" t="s">
        <v>578</v>
      </c>
      <c r="E71" s="2">
        <v>3</v>
      </c>
      <c r="F71" s="7" t="s">
        <v>598</v>
      </c>
      <c r="H71" s="7" t="s">
        <v>599</v>
      </c>
      <c r="J71" s="7" t="s">
        <v>557</v>
      </c>
    </row>
    <row r="72" spans="2:13">
      <c r="B72" s="2">
        <v>20</v>
      </c>
      <c r="D72" s="7" t="s">
        <v>436</v>
      </c>
      <c r="H72" s="24" t="s">
        <v>600</v>
      </c>
    </row>
    <row r="73" spans="2:13">
      <c r="B73" s="2">
        <v>30</v>
      </c>
      <c r="D73" s="7" t="s">
        <v>439</v>
      </c>
      <c r="H73" s="7" t="s">
        <v>601</v>
      </c>
    </row>
    <row r="74" spans="2:13">
      <c r="B74" s="2">
        <v>40</v>
      </c>
      <c r="D74" s="7" t="s">
        <v>602</v>
      </c>
    </row>
    <row r="75" spans="2:13">
      <c r="B75" s="2">
        <v>50</v>
      </c>
      <c r="D75" s="7" t="s">
        <v>470</v>
      </c>
      <c r="E75" s="2">
        <v>4</v>
      </c>
      <c r="F75" s="7" t="s">
        <v>603</v>
      </c>
      <c r="H75" s="7" t="s">
        <v>604</v>
      </c>
      <c r="J75" s="7" t="s">
        <v>605</v>
      </c>
    </row>
    <row r="76" spans="2:13">
      <c r="B76" s="2">
        <v>60</v>
      </c>
      <c r="D76" s="7" t="s">
        <v>606</v>
      </c>
      <c r="H76" s="7" t="s">
        <v>607</v>
      </c>
    </row>
    <row r="77" spans="2:13">
      <c r="B77" s="2">
        <v>70</v>
      </c>
      <c r="D77" s="7" t="s">
        <v>433</v>
      </c>
    </row>
    <row r="78" spans="2:13">
      <c r="B78" s="2">
        <v>80</v>
      </c>
      <c r="D78" s="7" t="s">
        <v>608</v>
      </c>
    </row>
    <row r="79" spans="2:13">
      <c r="B79" s="2">
        <v>90</v>
      </c>
      <c r="D79" s="7" t="s">
        <v>451</v>
      </c>
    </row>
    <row r="80" spans="2:13">
      <c r="B80" s="2">
        <v>100</v>
      </c>
      <c r="D80" s="7" t="s">
        <v>86</v>
      </c>
      <c r="E80" s="2">
        <v>5</v>
      </c>
      <c r="F80" s="7" t="s">
        <v>609</v>
      </c>
      <c r="H80" s="7" t="s">
        <v>610</v>
      </c>
      <c r="J80" s="7" t="s">
        <v>611</v>
      </c>
    </row>
    <row r="81" spans="2:10">
      <c r="B81" s="26" t="s">
        <v>569</v>
      </c>
      <c r="H81" s="7" t="s">
        <v>612</v>
      </c>
      <c r="J81" s="7" t="s">
        <v>613</v>
      </c>
    </row>
    <row r="82" spans="2:10">
      <c r="B82" s="7" t="s">
        <v>571</v>
      </c>
      <c r="H82" s="7" t="s">
        <v>614</v>
      </c>
    </row>
  </sheetData>
  <sheetProtection formatCells="0" formatColumns="0" formatRows="0" insertRows="0" insertColumns="0" insertHyperlinks="0" deleteColumns="0" deleteRows="0" sort="0" autoFilter="0" pivotTables="0"/>
  <mergeCells count="2">
    <mergeCell ref="A1:B2"/>
    <mergeCell ref="N11:S23"/>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0"/>
  <sheetViews>
    <sheetView topLeftCell="M9" workbookViewId="0">
      <selection activeCell="M9" sqref="M9:R23"/>
    </sheetView>
  </sheetViews>
  <sheetFormatPr defaultColWidth="11.3333333333333" defaultRowHeight="19.5"/>
  <cols>
    <col min="1" max="16384" width="11.3333333333333" style="2"/>
  </cols>
  <sheetData>
    <row r="1" spans="1:35">
      <c r="A1" s="14" t="s">
        <v>210</v>
      </c>
      <c r="B1" s="15"/>
    </row>
    <row r="2" spans="1:35">
      <c r="A2" s="15"/>
      <c r="B2" s="15"/>
      <c r="C2" s="7" t="s">
        <v>615</v>
      </c>
    </row>
    <row r="4" s="1" customFormat="1" spans="1:35">
      <c r="B4" s="10" t="s">
        <v>616</v>
      </c>
      <c r="C4" s="9" t="s">
        <v>617</v>
      </c>
    </row>
    <row r="5" spans="1:35">
      <c r="B5" s="7"/>
    </row>
    <row r="6" spans="1:35">
      <c r="B6" s="16" t="s">
        <v>618</v>
      </c>
      <c r="C6" s="17" t="s">
        <v>619</v>
      </c>
      <c r="L6" s="18" t="s">
        <v>620</v>
      </c>
      <c r="M6" s="17" t="s">
        <v>621</v>
      </c>
      <c r="T6" s="19" t="s">
        <v>622</v>
      </c>
      <c r="U6" s="17" t="s">
        <v>623</v>
      </c>
      <c r="AB6" s="20" t="s">
        <v>624</v>
      </c>
      <c r="AC6" s="17" t="s">
        <v>625</v>
      </c>
    </row>
    <row r="7" spans="1:35">
      <c r="B7" s="16"/>
      <c r="C7" s="7" t="s">
        <v>221</v>
      </c>
      <c r="D7" s="7" t="s">
        <v>227</v>
      </c>
      <c r="H7" s="7"/>
      <c r="I7" s="7"/>
      <c r="J7" s="7" t="s">
        <v>626</v>
      </c>
      <c r="L7" s="18"/>
      <c r="M7" s="7" t="s">
        <v>221</v>
      </c>
      <c r="O7" s="7" t="s">
        <v>227</v>
      </c>
      <c r="R7" s="7" t="s">
        <v>626</v>
      </c>
      <c r="T7" s="19"/>
      <c r="U7" s="2" t="s">
        <v>221</v>
      </c>
      <c r="W7" s="2" t="s">
        <v>227</v>
      </c>
      <c r="Z7" s="2" t="s">
        <v>626</v>
      </c>
      <c r="AB7" s="20"/>
      <c r="AC7" s="2" t="s">
        <v>221</v>
      </c>
      <c r="AE7" s="2" t="s">
        <v>227</v>
      </c>
      <c r="AH7" s="2" t="s">
        <v>626</v>
      </c>
    </row>
    <row r="9" spans="1:35">
      <c r="B9" s="2">
        <v>1</v>
      </c>
      <c r="C9" s="7" t="s">
        <v>627</v>
      </c>
      <c r="D9" s="7" t="s">
        <v>628</v>
      </c>
      <c r="H9" s="21"/>
      <c r="I9" s="21"/>
      <c r="J9" s="21" t="s">
        <v>629</v>
      </c>
      <c r="L9" s="2">
        <v>0</v>
      </c>
      <c r="M9" s="7" t="s">
        <v>630</v>
      </c>
      <c r="O9" s="7" t="s">
        <v>631</v>
      </c>
      <c r="R9" s="7" t="s">
        <v>629</v>
      </c>
      <c r="T9" s="2">
        <v>0</v>
      </c>
      <c r="U9" s="7" t="s">
        <v>632</v>
      </c>
      <c r="W9" s="7" t="s">
        <v>633</v>
      </c>
      <c r="X9" s="7" t="s">
        <v>634</v>
      </c>
      <c r="Z9" s="7" t="s">
        <v>635</v>
      </c>
      <c r="AB9" s="2">
        <v>0</v>
      </c>
      <c r="AC9" s="7" t="s">
        <v>636</v>
      </c>
      <c r="AE9" s="7" t="s">
        <v>637</v>
      </c>
      <c r="AH9" s="7" t="s">
        <v>638</v>
      </c>
      <c r="AI9" s="7" t="s">
        <v>639</v>
      </c>
    </row>
    <row r="10" spans="1:35">
      <c r="D10" s="7" t="s">
        <v>640</v>
      </c>
    </row>
    <row r="11" spans="1:35">
      <c r="B11" s="2">
        <v>2</v>
      </c>
      <c r="C11" s="7" t="s">
        <v>641</v>
      </c>
      <c r="D11" s="7" t="s">
        <v>642</v>
      </c>
      <c r="H11" s="21"/>
      <c r="I11" s="21"/>
      <c r="J11" s="21" t="s">
        <v>643</v>
      </c>
      <c r="L11" s="2">
        <v>1</v>
      </c>
      <c r="M11" s="7" t="s">
        <v>644</v>
      </c>
      <c r="O11" s="7" t="s">
        <v>645</v>
      </c>
      <c r="R11" s="7" t="s">
        <v>646</v>
      </c>
      <c r="T11" s="2">
        <v>1</v>
      </c>
      <c r="U11" s="7" t="s">
        <v>647</v>
      </c>
      <c r="W11" s="7" t="s">
        <v>648</v>
      </c>
      <c r="X11" s="7" t="s">
        <v>649</v>
      </c>
      <c r="Z11" s="7" t="s">
        <v>650</v>
      </c>
      <c r="AB11" s="2">
        <v>1</v>
      </c>
      <c r="AC11" s="7" t="s">
        <v>651</v>
      </c>
      <c r="AE11" s="7" t="s">
        <v>652</v>
      </c>
      <c r="AH11" s="7" t="s">
        <v>638</v>
      </c>
      <c r="AI11" s="7" t="s">
        <v>653</v>
      </c>
    </row>
    <row r="12" spans="1:35">
      <c r="D12" s="7" t="s">
        <v>654</v>
      </c>
      <c r="H12" s="7"/>
      <c r="I12" s="7"/>
      <c r="J12" s="7"/>
    </row>
    <row r="13" spans="1:35">
      <c r="C13" s="7"/>
      <c r="D13" s="7" t="s">
        <v>655</v>
      </c>
      <c r="J13" s="21"/>
      <c r="M13" s="7"/>
      <c r="O13" s="7"/>
      <c r="R13" s="7"/>
      <c r="U13" s="7"/>
      <c r="W13" s="7"/>
      <c r="X13" s="7"/>
      <c r="Z13" s="7"/>
      <c r="AC13" s="7"/>
      <c r="AE13" s="7"/>
      <c r="AH13" s="7"/>
    </row>
    <row r="14" spans="1:35">
      <c r="C14" s="7"/>
      <c r="D14" s="7" t="s">
        <v>656</v>
      </c>
      <c r="J14" s="21"/>
      <c r="M14" s="7"/>
      <c r="O14" s="7"/>
      <c r="R14" s="7"/>
      <c r="U14" s="7"/>
      <c r="W14" s="7"/>
      <c r="X14" s="7"/>
      <c r="Z14" s="7"/>
      <c r="AC14" s="7"/>
      <c r="AE14" s="7"/>
      <c r="AH14" s="7"/>
    </row>
    <row r="15" spans="1:35">
      <c r="C15" s="7"/>
      <c r="D15" s="7" t="s">
        <v>657</v>
      </c>
      <c r="J15" s="21"/>
      <c r="M15" s="7"/>
      <c r="O15" s="7"/>
      <c r="R15" s="7"/>
      <c r="U15" s="7"/>
      <c r="W15" s="7"/>
      <c r="X15" s="7"/>
      <c r="Z15" s="7"/>
      <c r="AC15" s="7"/>
      <c r="AE15" s="7"/>
      <c r="AH15" s="7"/>
    </row>
    <row r="16" spans="1:35">
      <c r="B16" s="2">
        <v>3</v>
      </c>
      <c r="C16" s="7" t="s">
        <v>658</v>
      </c>
      <c r="D16" s="7" t="s">
        <v>659</v>
      </c>
      <c r="J16" s="21" t="s">
        <v>660</v>
      </c>
      <c r="L16" s="2">
        <v>2</v>
      </c>
      <c r="M16" s="7" t="s">
        <v>661</v>
      </c>
      <c r="O16" s="7" t="s">
        <v>662</v>
      </c>
      <c r="R16" s="7" t="s">
        <v>663</v>
      </c>
      <c r="T16" s="2">
        <v>2</v>
      </c>
      <c r="U16" s="7" t="s">
        <v>664</v>
      </c>
      <c r="W16" s="7" t="s">
        <v>665</v>
      </c>
      <c r="X16" s="7" t="s">
        <v>666</v>
      </c>
      <c r="Z16" s="7" t="s">
        <v>667</v>
      </c>
      <c r="AB16" s="2">
        <v>2</v>
      </c>
      <c r="AC16" s="7" t="s">
        <v>668</v>
      </c>
      <c r="AE16" s="7" t="s">
        <v>669</v>
      </c>
      <c r="AH16" s="7" t="s">
        <v>670</v>
      </c>
    </row>
    <row r="17" spans="2:35">
      <c r="D17" s="7" t="s">
        <v>671</v>
      </c>
      <c r="AI17" s="7" t="s">
        <v>672</v>
      </c>
    </row>
    <row r="18" spans="2:35">
      <c r="D18" s="7" t="s">
        <v>673</v>
      </c>
      <c r="M18" s="7"/>
      <c r="O18" s="7"/>
      <c r="R18" s="7"/>
      <c r="U18" s="7"/>
      <c r="W18" s="7"/>
      <c r="X18" s="7"/>
      <c r="Z18" s="7"/>
    </row>
    <row r="19" spans="2:35">
      <c r="D19" s="7" t="s">
        <v>674</v>
      </c>
      <c r="M19" s="7"/>
      <c r="O19" s="7"/>
      <c r="R19" s="7"/>
      <c r="U19" s="7"/>
      <c r="W19" s="7"/>
      <c r="X19" s="7"/>
      <c r="Z19" s="7"/>
    </row>
    <row r="20" spans="2:35">
      <c r="D20" s="7" t="s">
        <v>675</v>
      </c>
      <c r="M20" s="7"/>
      <c r="O20" s="7"/>
      <c r="R20" s="7"/>
      <c r="U20" s="7"/>
      <c r="W20" s="7"/>
      <c r="X20" s="7"/>
      <c r="Z20" s="7"/>
    </row>
    <row r="21" spans="2:35">
      <c r="D21" s="7" t="s">
        <v>676</v>
      </c>
      <c r="M21" s="7"/>
      <c r="O21" s="7"/>
      <c r="R21" s="7"/>
      <c r="U21" s="7"/>
      <c r="W21" s="7"/>
      <c r="X21" s="7"/>
      <c r="Z21" s="7"/>
    </row>
    <row r="22" spans="2:35">
      <c r="D22" s="7" t="s">
        <v>677</v>
      </c>
      <c r="M22" s="7"/>
      <c r="O22" s="7"/>
      <c r="R22" s="7"/>
      <c r="U22" s="7"/>
      <c r="W22" s="7"/>
      <c r="X22" s="7"/>
      <c r="Z22" s="7"/>
    </row>
    <row r="23" spans="2:35">
      <c r="M23" s="7"/>
      <c r="O23" s="7"/>
      <c r="R23" s="7"/>
      <c r="U23" s="7"/>
      <c r="W23" s="7"/>
      <c r="X23" s="7"/>
      <c r="Z23" s="7"/>
    </row>
    <row r="24" spans="2:35">
      <c r="B24" s="2">
        <v>4</v>
      </c>
      <c r="L24" s="2">
        <v>3</v>
      </c>
      <c r="M24" s="7" t="s">
        <v>678</v>
      </c>
      <c r="O24" s="7" t="s">
        <v>679</v>
      </c>
      <c r="R24" s="7" t="s">
        <v>680</v>
      </c>
      <c r="T24" s="2">
        <v>3</v>
      </c>
      <c r="U24" s="7" t="s">
        <v>681</v>
      </c>
      <c r="W24" s="7" t="s">
        <v>682</v>
      </c>
      <c r="X24" s="7" t="s">
        <v>683</v>
      </c>
      <c r="Z24" s="7" t="s">
        <v>684</v>
      </c>
    </row>
    <row r="26" spans="2:35">
      <c r="B26" s="2">
        <v>5</v>
      </c>
      <c r="L26" s="2">
        <v>4</v>
      </c>
      <c r="M26" s="7" t="s">
        <v>685</v>
      </c>
      <c r="O26" s="7" t="s">
        <v>686</v>
      </c>
      <c r="R26" s="7" t="s">
        <v>687</v>
      </c>
      <c r="T26" s="2">
        <v>4</v>
      </c>
      <c r="U26" s="7" t="s">
        <v>688</v>
      </c>
      <c r="W26" s="7" t="s">
        <v>689</v>
      </c>
      <c r="X26" s="7" t="s">
        <v>690</v>
      </c>
      <c r="Z26" s="7" t="s">
        <v>691</v>
      </c>
    </row>
    <row r="28" spans="2:35">
      <c r="B28" s="2">
        <v>6</v>
      </c>
      <c r="L28" s="2">
        <v>5</v>
      </c>
      <c r="M28" s="7" t="s">
        <v>692</v>
      </c>
      <c r="O28" s="7" t="s">
        <v>693</v>
      </c>
      <c r="R28" s="7" t="s">
        <v>694</v>
      </c>
      <c r="T28" s="2">
        <v>5</v>
      </c>
      <c r="U28" s="7" t="s">
        <v>695</v>
      </c>
      <c r="W28" s="7" t="s">
        <v>696</v>
      </c>
      <c r="X28" s="7" t="s">
        <v>697</v>
      </c>
      <c r="Z28" s="7" t="s">
        <v>698</v>
      </c>
    </row>
    <row r="30" spans="2:35">
      <c r="L30" s="2">
        <v>6</v>
      </c>
      <c r="M30" s="7" t="s">
        <v>699</v>
      </c>
      <c r="O30" s="7" t="s">
        <v>700</v>
      </c>
      <c r="R30" s="7" t="s">
        <v>701</v>
      </c>
      <c r="T30" s="2">
        <v>6</v>
      </c>
      <c r="U30" s="7" t="s">
        <v>702</v>
      </c>
      <c r="W30" s="7" t="s">
        <v>703</v>
      </c>
      <c r="Z30" s="7" t="s">
        <v>704</v>
      </c>
    </row>
    <row r="32" spans="2:35">
      <c r="L32" s="2">
        <v>7</v>
      </c>
      <c r="M32" s="7" t="s">
        <v>705</v>
      </c>
      <c r="O32" s="7" t="s">
        <v>706</v>
      </c>
      <c r="R32" s="7" t="s">
        <v>707</v>
      </c>
    </row>
    <row r="34" spans="12:18">
      <c r="L34" s="2">
        <v>8</v>
      </c>
      <c r="M34" s="7" t="s">
        <v>708</v>
      </c>
      <c r="O34" s="7" t="s">
        <v>709</v>
      </c>
      <c r="R34" s="7" t="s">
        <v>710</v>
      </c>
    </row>
    <row r="36" spans="12:18">
      <c r="L36" s="2">
        <v>9</v>
      </c>
      <c r="M36" s="7" t="s">
        <v>711</v>
      </c>
      <c r="O36" s="7" t="s">
        <v>712</v>
      </c>
      <c r="R36" s="7" t="s">
        <v>713</v>
      </c>
    </row>
    <row r="38" spans="12:18">
      <c r="L38" s="2">
        <v>10</v>
      </c>
      <c r="M38" s="7" t="s">
        <v>714</v>
      </c>
      <c r="O38" s="7" t="s">
        <v>715</v>
      </c>
      <c r="R38" s="7" t="s">
        <v>716</v>
      </c>
    </row>
    <row r="40" spans="12:18">
      <c r="L40" s="2">
        <v>11</v>
      </c>
      <c r="M40" s="7" t="s">
        <v>717</v>
      </c>
      <c r="O40" s="7" t="s">
        <v>718</v>
      </c>
      <c r="R40" s="7" t="s">
        <v>719</v>
      </c>
    </row>
  </sheetData>
  <sheetProtection formatCells="0" formatColumns="0" formatRows="0" insertRows="0" insertColumns="0" insertHyperlinks="0" deleteColumns="0" deleteRows="0" sort="0" autoFilter="0" pivotTables="0"/>
  <mergeCells count="5">
    <mergeCell ref="B6:B7"/>
    <mergeCell ref="L6:L7"/>
    <mergeCell ref="T6:T7"/>
    <mergeCell ref="AB6:AB7"/>
    <mergeCell ref="A1:B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
  <sheetViews>
    <sheetView topLeftCell="B10" workbookViewId="0">
      <selection activeCell="H27" sqref="H27"/>
    </sheetView>
  </sheetViews>
  <sheetFormatPr defaultColWidth="11.3333333333333" defaultRowHeight="19.5"/>
  <cols>
    <col min="1" max="16384" width="11.3333333333333" style="2"/>
  </cols>
  <sheetData>
    <row r="1" spans="1:15">
      <c r="A1" s="11" t="s">
        <v>39</v>
      </c>
      <c r="B1" s="12"/>
    </row>
    <row r="2" spans="1:15">
      <c r="A2" s="12"/>
      <c r="B2" s="12"/>
    </row>
    <row r="4" s="5" customFormat="1" spans="1:15">
      <c r="B4" s="10" t="s">
        <v>720</v>
      </c>
      <c r="D4" s="10" t="s">
        <v>721</v>
      </c>
      <c r="F4" s="10" t="s">
        <v>722</v>
      </c>
      <c r="H4" s="10" t="s">
        <v>723</v>
      </c>
      <c r="J4" s="10" t="s">
        <v>724</v>
      </c>
      <c r="M4" s="10" t="s">
        <v>323</v>
      </c>
    </row>
    <row r="6" spans="1:15">
      <c r="B6" s="2">
        <v>1</v>
      </c>
      <c r="D6" s="2">
        <v>1</v>
      </c>
      <c r="F6" s="2">
        <v>50</v>
      </c>
      <c r="H6" s="2">
        <v>20</v>
      </c>
      <c r="M6" s="7" t="s">
        <v>725</v>
      </c>
      <c r="O6" s="7" t="s">
        <v>726</v>
      </c>
    </row>
    <row r="7" spans="1:15">
      <c r="B7" s="2">
        <v>2</v>
      </c>
      <c r="D7" s="2">
        <v>1</v>
      </c>
      <c r="F7" s="2">
        <v>70</v>
      </c>
      <c r="H7" s="2">
        <v>10</v>
      </c>
      <c r="J7" s="7" t="s">
        <v>727</v>
      </c>
    </row>
    <row r="8" spans="1:15">
      <c r="B8" s="2">
        <v>3</v>
      </c>
      <c r="D8" s="2">
        <v>4</v>
      </c>
      <c r="F8" s="2">
        <v>20</v>
      </c>
      <c r="H8" s="2">
        <v>5</v>
      </c>
      <c r="J8" s="7" t="s">
        <v>728</v>
      </c>
    </row>
    <row r="9" spans="1:15">
      <c r="B9" s="2">
        <v>4</v>
      </c>
      <c r="D9" s="2">
        <v>2</v>
      </c>
      <c r="F9" s="2">
        <v>50</v>
      </c>
      <c r="H9" s="2">
        <v>10</v>
      </c>
    </row>
    <row r="10" spans="1:15">
      <c r="B10" s="13">
        <v>5</v>
      </c>
      <c r="D10" s="2">
        <v>3</v>
      </c>
      <c r="F10" s="2">
        <v>100</v>
      </c>
      <c r="H10" s="2">
        <v>30</v>
      </c>
      <c r="J10" s="7" t="s">
        <v>729</v>
      </c>
    </row>
    <row r="11" spans="1:15">
      <c r="B11" s="2">
        <v>6</v>
      </c>
      <c r="D11" s="2">
        <v>2</v>
      </c>
      <c r="F11" s="2">
        <v>120</v>
      </c>
      <c r="H11" s="2">
        <v>5</v>
      </c>
      <c r="J11" s="7" t="s">
        <v>730</v>
      </c>
    </row>
    <row r="12" spans="1:15">
      <c r="B12" s="2">
        <v>7</v>
      </c>
      <c r="D12" s="2">
        <v>4</v>
      </c>
      <c r="F12" s="2">
        <v>150</v>
      </c>
      <c r="H12" s="2">
        <v>30</v>
      </c>
    </row>
    <row r="13" spans="1:15">
      <c r="B13" s="2">
        <v>8</v>
      </c>
      <c r="D13" s="2">
        <v>1</v>
      </c>
      <c r="F13" s="2">
        <v>300</v>
      </c>
      <c r="H13" s="2">
        <v>15</v>
      </c>
      <c r="J13" s="7" t="s">
        <v>729</v>
      </c>
    </row>
    <row r="14" spans="1:15">
      <c r="B14" s="2">
        <v>9</v>
      </c>
      <c r="D14" s="2">
        <v>2</v>
      </c>
      <c r="F14" s="2">
        <v>300</v>
      </c>
      <c r="H14" s="2">
        <v>40</v>
      </c>
    </row>
    <row r="15" spans="1:15">
      <c r="B15" s="2">
        <v>10</v>
      </c>
      <c r="D15" s="2">
        <v>4</v>
      </c>
      <c r="F15" s="2">
        <v>200</v>
      </c>
      <c r="H15" s="2">
        <v>30</v>
      </c>
    </row>
    <row r="16" spans="1:15">
      <c r="B16" s="2">
        <v>11</v>
      </c>
      <c r="D16" s="2">
        <v>2</v>
      </c>
      <c r="F16" s="2">
        <v>350</v>
      </c>
      <c r="H16" s="2">
        <v>70</v>
      </c>
    </row>
    <row r="17" spans="2:13">
      <c r="B17" s="2">
        <v>12</v>
      </c>
      <c r="D17" s="2">
        <v>3</v>
      </c>
      <c r="F17" s="2">
        <v>400</v>
      </c>
      <c r="H17" s="2">
        <v>50</v>
      </c>
    </row>
    <row r="18" spans="2:13">
      <c r="B18" s="2">
        <v>13</v>
      </c>
      <c r="D18" s="2">
        <v>3</v>
      </c>
      <c r="F18" s="2">
        <v>600</v>
      </c>
      <c r="H18" s="2">
        <v>60</v>
      </c>
      <c r="M18" s="7" t="s">
        <v>731</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2"/>
  <sheetViews>
    <sheetView workbookViewId="0">
      <selection activeCell="X27" sqref="X27"/>
    </sheetView>
  </sheetViews>
  <sheetFormatPr defaultColWidth="11.3333333333333" defaultRowHeight="19.5"/>
  <cols>
    <col min="1" max="16384" width="11.3333333333333" style="2"/>
  </cols>
  <sheetData>
    <row r="1" spans="1:20">
      <c r="A1" s="11" t="s">
        <v>732</v>
      </c>
      <c r="B1" s="12"/>
    </row>
    <row r="2" spans="1:20">
      <c r="A2" s="12"/>
      <c r="B2" s="12"/>
    </row>
    <row r="4" s="5" customFormat="1" spans="1:20">
      <c r="C4" s="10" t="s">
        <v>221</v>
      </c>
      <c r="E4" s="10" t="s">
        <v>733</v>
      </c>
      <c r="G4" s="10" t="s">
        <v>734</v>
      </c>
      <c r="I4" s="10" t="s">
        <v>272</v>
      </c>
      <c r="K4" s="10" t="s">
        <v>735</v>
      </c>
      <c r="P4" s="10" t="s">
        <v>736</v>
      </c>
      <c r="T4" s="10" t="s">
        <v>737</v>
      </c>
    </row>
    <row r="5" spans="1:20">
      <c r="C5" s="7"/>
    </row>
    <row r="6" spans="1:20">
      <c r="B6" s="2">
        <v>1</v>
      </c>
      <c r="C6" s="7" t="s">
        <v>738</v>
      </c>
      <c r="E6" s="2">
        <v>100</v>
      </c>
      <c r="G6" s="2">
        <v>10</v>
      </c>
      <c r="I6" s="7" t="s">
        <v>739</v>
      </c>
      <c r="K6" s="7" t="s">
        <v>740</v>
      </c>
      <c r="P6" s="7" t="s">
        <v>741</v>
      </c>
      <c r="T6" s="7" t="s">
        <v>742</v>
      </c>
    </row>
    <row r="8" spans="1:20">
      <c r="B8" s="2">
        <v>2</v>
      </c>
      <c r="C8" s="7" t="s">
        <v>743</v>
      </c>
      <c r="E8" s="2">
        <v>500</v>
      </c>
      <c r="G8" s="2">
        <v>50</v>
      </c>
      <c r="I8" s="7" t="s">
        <v>744</v>
      </c>
      <c r="K8" s="7" t="s">
        <v>745</v>
      </c>
      <c r="P8" s="7"/>
      <c r="T8" s="7" t="s">
        <v>746</v>
      </c>
    </row>
    <row r="10" spans="1:20">
      <c r="B10" s="2">
        <v>3</v>
      </c>
      <c r="C10" s="7" t="s">
        <v>747</v>
      </c>
      <c r="E10" s="2">
        <v>500</v>
      </c>
      <c r="G10" s="2">
        <v>50</v>
      </c>
      <c r="I10" s="7" t="s">
        <v>748</v>
      </c>
      <c r="K10" s="7" t="s">
        <v>749</v>
      </c>
      <c r="T10" s="7" t="s">
        <v>750</v>
      </c>
    </row>
    <row r="11" spans="1:20">
      <c r="K11" s="7" t="s">
        <v>751</v>
      </c>
    </row>
    <row r="12" spans="1:20">
      <c r="C12" s="7"/>
      <c r="I12" s="7"/>
      <c r="K12" s="7" t="s">
        <v>752</v>
      </c>
      <c r="T12" s="7"/>
    </row>
    <row r="13" spans="1:20">
      <c r="C13" s="7"/>
      <c r="I13" s="7"/>
      <c r="K13" s="7" t="s">
        <v>753</v>
      </c>
      <c r="T13" s="7"/>
    </row>
    <row r="14" spans="1:20">
      <c r="C14" s="7"/>
      <c r="I14" s="7"/>
      <c r="K14" s="7"/>
      <c r="T14" s="7"/>
    </row>
    <row r="15" spans="1:20">
      <c r="C15" s="7"/>
      <c r="I15" s="7"/>
      <c r="T15" s="7"/>
    </row>
    <row r="16" spans="1:20">
      <c r="B16" s="2">
        <v>4</v>
      </c>
      <c r="C16" s="7" t="s">
        <v>754</v>
      </c>
      <c r="E16" s="2">
        <v>500</v>
      </c>
      <c r="G16" s="2">
        <v>50</v>
      </c>
      <c r="I16" s="7" t="s">
        <v>755</v>
      </c>
      <c r="K16" s="7" t="s">
        <v>756</v>
      </c>
      <c r="T16" s="7" t="s">
        <v>757</v>
      </c>
    </row>
    <row r="17" spans="2:24">
      <c r="K17" s="7" t="s">
        <v>758</v>
      </c>
    </row>
    <row r="18" spans="2:24">
      <c r="C18" s="7"/>
      <c r="I18" s="7"/>
      <c r="K18" s="7" t="s">
        <v>759</v>
      </c>
    </row>
    <row r="19" spans="2:24">
      <c r="C19" s="7"/>
      <c r="I19" s="7"/>
      <c r="K19" s="7" t="s">
        <v>760</v>
      </c>
    </row>
    <row r="20" spans="2:24">
      <c r="C20" s="7"/>
      <c r="I20" s="7"/>
    </row>
    <row r="21" spans="2:24">
      <c r="B21" s="2">
        <v>5</v>
      </c>
      <c r="C21" s="7" t="s">
        <v>761</v>
      </c>
      <c r="E21" s="2">
        <v>500</v>
      </c>
      <c r="G21" s="2">
        <v>50</v>
      </c>
      <c r="I21" s="7" t="s">
        <v>762</v>
      </c>
      <c r="K21" s="7" t="s">
        <v>763</v>
      </c>
    </row>
    <row r="22" spans="2:24">
      <c r="K22" s="7" t="s">
        <v>764</v>
      </c>
      <c r="X22" s="7" t="s">
        <v>765</v>
      </c>
    </row>
    <row r="23" spans="2:24">
      <c r="K23" s="7" t="s">
        <v>766</v>
      </c>
      <c r="X23" s="7" t="s">
        <v>767</v>
      </c>
    </row>
    <row r="24" spans="2:24">
      <c r="K24" s="7" t="s">
        <v>768</v>
      </c>
      <c r="X24" s="7" t="s">
        <v>769</v>
      </c>
    </row>
    <row r="25" spans="2:24">
      <c r="K25" s="7" t="s">
        <v>770</v>
      </c>
      <c r="X25" s="7" t="s">
        <v>771</v>
      </c>
    </row>
    <row r="26" spans="2:24">
      <c r="K26" s="7" t="s">
        <v>772</v>
      </c>
      <c r="X26" s="7" t="s">
        <v>773</v>
      </c>
    </row>
    <row r="27" spans="2:24">
      <c r="K27" s="7" t="s">
        <v>774</v>
      </c>
      <c r="X27" s="7" t="s">
        <v>775</v>
      </c>
    </row>
    <row r="28" spans="2:24">
      <c r="K28" s="7" t="s">
        <v>776</v>
      </c>
    </row>
    <row r="29" spans="2:24">
      <c r="K29" s="7" t="s">
        <v>777</v>
      </c>
    </row>
    <row r="30" spans="2:24">
      <c r="K30" s="7" t="s">
        <v>778</v>
      </c>
    </row>
    <row r="31" spans="2:24">
      <c r="K31" s="7" t="s">
        <v>779</v>
      </c>
    </row>
    <row r="32" spans="2:24">
      <c r="K32" s="7" t="s">
        <v>780</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workbookViewId="0">
      <selection activeCell="C17" sqref="C17"/>
    </sheetView>
  </sheetViews>
  <sheetFormatPr defaultColWidth="11.3333333333333" defaultRowHeight="19.5" outlineLevelCol="2"/>
  <cols>
    <col min="1" max="16384" width="11.3333333333333" style="2"/>
  </cols>
  <sheetData>
    <row r="1" spans="1:3">
      <c r="A1" s="3" t="s">
        <v>781</v>
      </c>
      <c r="B1" s="4"/>
    </row>
    <row r="2" spans="1:3">
      <c r="A2" s="4"/>
      <c r="B2" s="4"/>
    </row>
    <row r="4" s="1" customFormat="1" spans="1:3">
      <c r="B4" s="9"/>
      <c r="C4" s="10" t="s">
        <v>782</v>
      </c>
    </row>
    <row r="6" spans="1:3">
      <c r="C6" s="7" t="s">
        <v>783</v>
      </c>
    </row>
    <row r="8" spans="1:3">
      <c r="C8" s="7" t="s">
        <v>784</v>
      </c>
    </row>
    <row r="13" s="5" customFormat="1" spans="1:3">
      <c r="C13" s="10" t="s">
        <v>785</v>
      </c>
    </row>
    <row r="15" spans="1:3">
      <c r="C15" s="7" t="s">
        <v>786</v>
      </c>
    </row>
    <row r="17" spans="3:3">
      <c r="C17" s="7" t="s">
        <v>787</v>
      </c>
    </row>
    <row r="19" spans="3:3">
      <c r="C19" s="7" t="s">
        <v>788</v>
      </c>
    </row>
    <row r="21" spans="3:3">
      <c r="C21" s="7" t="s">
        <v>789</v>
      </c>
    </row>
    <row r="23" s="1" customFormat="1" spans="3:3">
      <c r="C23" s="10" t="s">
        <v>781</v>
      </c>
    </row>
    <row r="25" spans="3:3">
      <c r="C25" s="7" t="s">
        <v>790</v>
      </c>
    </row>
    <row r="27" spans="3:3">
      <c r="C27" s="7" t="s">
        <v>791</v>
      </c>
    </row>
    <row r="29" spans="3:3">
      <c r="C29" s="7" t="s">
        <v>792</v>
      </c>
    </row>
    <row r="31" spans="3:3">
      <c r="C31" s="7" t="s">
        <v>793</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topLeftCell="H16" workbookViewId="0">
      <selection activeCell="B5" sqref="A5:H15"/>
    </sheetView>
  </sheetViews>
  <sheetFormatPr defaultColWidth="11.3333333333333" defaultRowHeight="19.5" outlineLevelCol="7"/>
  <cols>
    <col min="1" max="16384" width="11.3333333333333" style="2"/>
  </cols>
  <sheetData>
    <row r="1" spans="1:8">
      <c r="A1" s="3" t="s">
        <v>794</v>
      </c>
      <c r="B1" s="4"/>
    </row>
    <row r="2" spans="1:8">
      <c r="A2" s="4"/>
      <c r="B2" s="4"/>
    </row>
    <row r="5" s="1" customFormat="1" spans="1:8">
      <c r="A5" s="5" t="s">
        <v>795</v>
      </c>
      <c r="B5" s="5" t="s">
        <v>796</v>
      </c>
      <c r="C5" s="5"/>
      <c r="D5" s="5" t="s">
        <v>797</v>
      </c>
      <c r="E5" s="5"/>
      <c r="F5" s="5" t="s">
        <v>798</v>
      </c>
      <c r="G5" s="5"/>
      <c r="H5" s="5" t="s">
        <v>799</v>
      </c>
    </row>
    <row r="6" spans="1:8">
      <c r="A6" s="6" t="s">
        <v>800</v>
      </c>
      <c r="B6" s="2" t="s">
        <v>801</v>
      </c>
      <c r="D6" s="2" t="s">
        <v>802</v>
      </c>
      <c r="F6" s="2" t="s">
        <v>803</v>
      </c>
      <c r="H6" s="7" t="s">
        <v>804</v>
      </c>
    </row>
    <row r="7" spans="1:8">
      <c r="A7" s="6" t="s">
        <v>805</v>
      </c>
      <c r="B7" s="7" t="s">
        <v>806</v>
      </c>
      <c r="D7" s="7" t="s">
        <v>807</v>
      </c>
      <c r="F7" s="7" t="s">
        <v>808</v>
      </c>
      <c r="H7" s="7" t="s">
        <v>809</v>
      </c>
    </row>
    <row r="8" spans="1:8">
      <c r="A8" s="6" t="s">
        <v>810</v>
      </c>
      <c r="B8" s="2" t="s">
        <v>811</v>
      </c>
      <c r="D8" s="7" t="s">
        <v>812</v>
      </c>
      <c r="F8" s="7" t="s">
        <v>813</v>
      </c>
      <c r="H8" s="7" t="s">
        <v>814</v>
      </c>
    </row>
    <row r="9" spans="1:8">
      <c r="A9" s="8" t="s">
        <v>815</v>
      </c>
      <c r="B9" s="2" t="s">
        <v>816</v>
      </c>
      <c r="D9" s="7" t="s">
        <v>817</v>
      </c>
      <c r="F9" s="2" t="s">
        <v>816</v>
      </c>
      <c r="H9" s="2" t="s">
        <v>816</v>
      </c>
    </row>
    <row r="10" spans="1:8">
      <c r="A10" s="8" t="s">
        <v>818</v>
      </c>
      <c r="B10" s="2">
        <v>2</v>
      </c>
      <c r="D10" s="2">
        <v>5</v>
      </c>
      <c r="F10" s="2" t="s">
        <v>819</v>
      </c>
      <c r="H10" s="2" t="s">
        <v>820</v>
      </c>
    </row>
    <row r="11" spans="1:8">
      <c r="A11" s="8" t="s">
        <v>821</v>
      </c>
      <c r="B11" s="2">
        <v>10</v>
      </c>
      <c r="D11" s="2">
        <v>20</v>
      </c>
      <c r="F11" s="2">
        <v>10</v>
      </c>
      <c r="H11" s="2">
        <v>15</v>
      </c>
    </row>
    <row r="12" spans="1:8">
      <c r="A12" s="8" t="s">
        <v>822</v>
      </c>
      <c r="B12" s="2" t="s">
        <v>801</v>
      </c>
      <c r="D12" s="2" t="s">
        <v>801</v>
      </c>
      <c r="F12" s="2" t="s">
        <v>801</v>
      </c>
      <c r="H12" s="2" t="s">
        <v>823</v>
      </c>
    </row>
    <row r="13" spans="1:8">
      <c r="A13" s="8" t="s">
        <v>824</v>
      </c>
      <c r="H13" s="2">
        <v>15</v>
      </c>
    </row>
    <row r="14" spans="1:8">
      <c r="A14" s="8" t="s">
        <v>825</v>
      </c>
      <c r="B14" s="2">
        <v>1</v>
      </c>
      <c r="D14" s="2">
        <v>1</v>
      </c>
      <c r="F14" s="2">
        <v>5</v>
      </c>
      <c r="H14" s="2">
        <v>1</v>
      </c>
    </row>
    <row r="15" spans="1:8">
      <c r="A15" s="8" t="s">
        <v>826</v>
      </c>
      <c r="B15" s="2">
        <v>0.1</v>
      </c>
      <c r="D15" s="2">
        <v>0.1</v>
      </c>
      <c r="F15" s="2">
        <v>0.2</v>
      </c>
      <c r="H15" s="2">
        <v>0.1</v>
      </c>
    </row>
  </sheetData>
  <sheetProtection formatCells="0" formatColumns="0" formatRows="0" insertRows="0" insertColumns="0" insertHyperlinks="0" deleteColumns="0" deleteRows="0" sort="0" autoFilter="0" pivotTables="0"/>
  <mergeCells count="1">
    <mergeCell ref="A1:B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Props sheetStid="3" interlineOnOff="0" interlineColor="0" isDbSheet="0" isDashBoardSheet="0" isDbDashBoardSheet="0" isFlexPaperSheet="0" topPadding="30" bottomPadding="30" leftPadding="15" rightPadding="15">
      <cellprotection/>
      <appEtDbRelations/>
    </woSheetProps>
    <woSheetProps sheetStid="4" interlineOnOff="0" interlineColor="0" isDbSheet="0" isDashBoardSheet="0" isDbDashBoardSheet="0" isFlexPaperSheet="0" topPadding="30" bottomPadding="30" leftPadding="15" rightPadding="15">
      <cellprotection/>
      <appEtDbRelations/>
    </woSheetProps>
    <woSheetProps sheetStid="5" interlineOnOff="0" interlineColor="0" isDbSheet="0" isDashBoardSheet="0" isDbDashBoardSheet="0" isFlexPaperSheet="0" topPadding="30" bottomPadding="30" leftPadding="15" rightPadding="15">
      <cellprotection/>
      <appEtDbRelations/>
    </woSheetProps>
    <woSheetProps sheetStid="6" interlineOnOff="0" interlineColor="0" isDbSheet="0" isDashBoardSheet="0" isDbDashBoardSheet="0" isFlexPaperSheet="0" topPadding="30" bottomPadding="30" leftPadding="15" rightPadding="15">
      <cellprotection/>
      <appEtDbRelations/>
    </woSheetProps>
    <woSheetProps sheetStid="7" interlineOnOff="0" interlineColor="0" isDbSheet="0" isDashBoardSheet="0" isDbDashBoardSheet="0" isFlexPaperSheet="0" topPadding="30" bottomPadding="30" leftPadding="15" rightPadding="15">
      <cellprotection/>
      <appEtDbRelations/>
    </woSheetProps>
    <woSheetProps sheetStid="8" interlineOnOff="0" interlineColor="0" isDbSheet="0" isDashBoardSheet="0" isDbDashBoardSheet="0" isFlexPaperSheet="0" topPadding="30" bottomPadding="30" leftPadding="15" rightPadding="15">
      <cellprotection/>
      <appEtDbRelations/>
    </woSheetProps>
    <woSheetProps sheetStid="9" interlineOnOff="0" interlineColor="0" isDbSheet="0" isDashBoardSheet="0" isDbDashBoardSheet="0" isFlexPaperSheet="0" topPadding="30" bottomPadding="30" leftPadding="15" rightPadding="15">
      <cellprotection/>
      <appEtDbRelations/>
    </woSheetProps>
    <woSheetProps sheetStid="10" interlineOnOff="0" interlineColor="0" isDbSheet="0" isDashBoardSheet="0" isDbDashBoardSheet="0" isFlexPaperSheet="0" topPadding="30" bottomPadding="30" leftPadding="15" rightPadding="15">
      <cellprotection/>
      <appEtDbRelations/>
    </woSheetProps>
    <woSheetProps sheetStid="11" interlineOnOff="0" interlineColor="0" isDbSheet="0" isDashBoardSheet="0" isDbDashBoardSheet="0" isFlexPaperSheet="0" topPadding="30" bottomPadding="30" leftPadding="15" rightPadding="15">
      <cellprotection/>
      <appEtDbRelations/>
    </woSheetProps>
    <woSheetProps sheetStid="12" interlineOnOff="0" interlineColor="0" isDbSheet="0" isDashBoardSheet="0" isDbDashBoardSheet="0" isFlexPaperSheet="0" topPadding="30" bottomPadding="30" leftPadding="15" rightPadding="15">
      <cellprotection/>
      <appEtDbRelations/>
    </woSheetProps>
    <woSheetProps sheetStid="13" interlineOnOff="0" interlineColor="0" isDbSheet="0" isDashBoardSheet="0" isDbDashBoardSheet="0" isFlexPaperSheet="0" topPadding="30" bottomPadding="30" leftPadding="15" rightPadding="15">
      <cellprotection/>
      <appEtDbRelations/>
    </woSheetProps>
    <woSheetProps sheetStid="14" interlineOnOff="0" interlineColor="0" isDbSheet="0" isDashBoardSheet="0" isDbDashBoardSheet="0" isFlexPaperSheet="0" topPadding="30" bottomPadding="30" leftPadding="15" rightPadding="15">
      <cellprotection/>
      <appEtDbRelations/>
    </woSheetProps>
    <woSheetProps sheetStid="15"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List sheetStid="13"/>
  <pixelatorList sheetStid="14"/>
  <pixelatorList sheetStid="1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14</vt:i4>
      </vt:variant>
    </vt:vector>
  </HeadingPairs>
  <TitlesOfParts>
    <vt:vector size="14" baseType="lpstr">
      <vt:lpstr>游戏内玩法</vt:lpstr>
      <vt:lpstr>开发日志</vt:lpstr>
      <vt:lpstr>存档装备系统</vt:lpstr>
      <vt:lpstr>奇遇事件</vt:lpstr>
      <vt:lpstr>角色属性   </vt:lpstr>
      <vt:lpstr>难度说明</vt:lpstr>
      <vt:lpstr>通关装备</vt:lpstr>
      <vt:lpstr>成就装备</vt:lpstr>
      <vt:lpstr>好感度装备</vt:lpstr>
      <vt:lpstr>抽卡装备</vt:lpstr>
      <vt:lpstr>门挑战</vt:lpstr>
      <vt:lpstr>BOSS设计</vt:lpstr>
      <vt:lpstr>营地设计</vt:lpstr>
      <vt:lpstr>可操纵角色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2026-07-27T09:44:13Z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FAADD06A7D01587AEDB7666AD5BFB8C3_41</vt:lpwstr>
  </property>
  <property fmtid="{D5CDD505-2E9C-101B-9397-08002B2CF9AE}" pid="3" name="KSOProductBuildVer">
    <vt:lpwstr>2052-12.9.0.28068</vt:lpwstr>
  </property>
  <property fmtid="{D5CDD505-2E9C-101B-9397-08002B2CF9AE}" pid="4" name="CalculationRule">
    <vt:i4>1</vt:i4>
  </property>
</Properties>
</file>